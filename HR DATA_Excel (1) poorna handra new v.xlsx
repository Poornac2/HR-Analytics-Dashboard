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charts/chart12.xml" ContentType="application/vnd.openxmlformats-officedocument.drawingml.chart+xml"/>
  <Override PartName="/xl/charts/style17.xml" ContentType="application/vnd.ms-office.chartstyle+xml"/>
  <Override PartName="/xl/charts/colors17.xml" ContentType="application/vnd.ms-office.chartcolorstyle+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charts/chartEx6.xml" ContentType="application/vnd.ms-office.chartex+xml"/>
  <Override PartName="/xl/charts/style19.xml" ContentType="application/vnd.ms-office.chartstyle+xml"/>
  <Override PartName="/xl/charts/colors19.xml" ContentType="application/vnd.ms-office.chartcolorstyle+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03E6C4E7-582A-4D00-8E9C-5066B25F235C}" xr6:coauthVersionLast="47" xr6:coauthVersionMax="47" xr10:uidLastSave="{00000000-0000-0000-0000-000000000000}"/>
  <bookViews>
    <workbookView xWindow="-108" yWindow="-108" windowWidth="23256" windowHeight="12576" firstSheet="4" activeTab="9" xr2:uid="{00000000-000D-0000-FFFF-FFFF00000000}"/>
  </bookViews>
  <sheets>
    <sheet name="KPI" sheetId="7" r:id="rId1"/>
    <sheet name="Rating" sheetId="8" r:id="rId2"/>
    <sheet name="Gender" sheetId="9" r:id="rId3"/>
    <sheet name="Education by Attrition" sheetId="10" r:id="rId4"/>
    <sheet name="Attrition by Job" sheetId="11" r:id="rId5"/>
    <sheet name="Dept wise Attrition" sheetId="12" r:id="rId6"/>
    <sheet name="Attrition by Age Group" sheetId="14" r:id="rId7"/>
    <sheet name="Marital Status" sheetId="16" r:id="rId8"/>
    <sheet name="Data" sheetId="1" r:id="rId9"/>
    <sheet name="DashBoard" sheetId="4" r:id="rId10"/>
  </sheets>
  <externalReferences>
    <externalReference r:id="rId11"/>
  </externalReferences>
  <definedNames>
    <definedName name="_xlchart.v1.0" hidden="1">Rating!$B$8:$B$9</definedName>
    <definedName name="_xlchart.v1.1" hidden="1">'Attrition by Job'!$D$4:$D$12</definedName>
    <definedName name="_xlchart.v1.10" hidden="1">'Attrition by Job'!$D$4:$D$12</definedName>
    <definedName name="_xlchart.v1.11" hidden="1">'Attrition by Job'!$E$3</definedName>
    <definedName name="_xlchart.v1.12" hidden="1">'Attrition by Job'!$E$4:$E$12</definedName>
    <definedName name="_xlchart.v1.2" hidden="1">'Attrition by Job'!$E$3</definedName>
    <definedName name="_xlchart.v1.3" hidden="1">'Attrition by Job'!$E$4:$E$12</definedName>
    <definedName name="_xlchart.v2.4" hidden="1">'Marital Status'!$D$4:$D$6</definedName>
    <definedName name="_xlchart.v2.5" hidden="1">'Marital Status'!$E$3</definedName>
    <definedName name="_xlchart.v2.6"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2">#N/A</definedName>
    <definedName name="Slicer_Gender2">#N/A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D5" i="16" l="1"/>
  <c r="D6" i="16"/>
  <c r="D4" i="16"/>
  <c r="D10" i="11"/>
  <c r="D6" i="11"/>
  <c r="D11" i="11"/>
  <c r="D5" i="11"/>
  <c r="D7" i="11"/>
  <c r="D4" i="11"/>
  <c r="D9" i="11"/>
  <c r="D12" i="11"/>
  <c r="D8" i="11"/>
  <c r="B9" i="9"/>
  <c r="B10" i="9"/>
  <c r="E5" i="16"/>
  <c r="E6" i="16"/>
  <c r="E4" i="16"/>
  <c r="E12" i="11"/>
  <c r="E10" i="11"/>
  <c r="E7" i="11"/>
  <c r="E5" i="11"/>
  <c r="E11" i="11"/>
  <c r="E9" i="11"/>
  <c r="E8" i="11"/>
  <c r="B8" i="8"/>
  <c r="C9" i="9" l="1"/>
  <c r="C10" i="9"/>
  <c r="C8" i="8"/>
  <c r="B9" i="8"/>
  <c r="C9" i="8" s="1"/>
  <c r="C8" i="7"/>
  <c r="A8" i="7"/>
  <c r="B8" i="7"/>
  <c r="E8" i="7" l="1"/>
  <c r="D8" i="7"/>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<sst xmlns="http://schemas.openxmlformats.org/spreadsheetml/2006/main" count="19216" uniqueCount="1569">
  <si>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</si>
  <si>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</si>
  <si>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</si>
  <si>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</si>
  <si>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</si>
  <si>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</si>
  <si>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</si>
  <si>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</si>
  <si>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</si>
  <si>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</si>
  <si>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</si>
  <si>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</si>
  <si>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</si>
  <si>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</si>
  <si>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</si>
  <si>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</si>
  <si>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</si>
  <si>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</si>
  <si>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</si>
  <si>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</si>
  <si>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</si>
  <si>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</si>
  <si>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</si>
  <si>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</si>
  <si>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</si>
  <si>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</si>
  <si>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</si>
  <si>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</si>
  <si>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</si>
  <si>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</si>
  <si>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</si>
  <si>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</si>
  <si>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</si>
  <si>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</si>
  <si>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</si>
  <si>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</si>
  <si>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</si>
  <si>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</si>
  <si>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</si>
  <si>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</si>
  <si>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</si>
  <si>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</si>
  <si>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</si>
  <si>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</si>
  <si>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</si>
  <si>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</si>
  <si>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</si>
  <si>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</si>
  <si>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</si>
  <si>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</si>
  <si>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</si>
  <si>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</si>
  <si>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</si>
  <si>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</si>
  <si>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</si>
  <si>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</si>
  <si>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</si>
  <si>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</si>
  <si>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</si>
  <si>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</si>
  <si>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</si>
  <si>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</si>
  <si>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</si>
  <si>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</si>
  <si>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</si>
  <si>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</si>
  <si>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</si>
  <si>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</si>
  <si>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</si>
  <si>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</si>
  <si>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</si>
  <si>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</si>
  <si>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</si>
  <si>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</si>
  <si>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</si>
  <si>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</si>
  <si>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</si>
  <si>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</si>
  <si>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</si>
  <si>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</si>
  <si>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</si>
  <si>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</si>
  <si>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</si>
  <si>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</si>
  <si>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</si>
  <si>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</si>
  <si>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</si>
  <si>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</si>
  <si>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</si>
  <si>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</si>
  <si>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</si>
  <si>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</si>
  <si>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</si>
  <si>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</si>
  <si>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</si>
  <si>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</si>
  <si>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</si>
  <si>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</si>
  <si>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</si>
  <si>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</si>
  <si>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</si>
  <si>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</si>
  <si>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</si>
  <si>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</si>
  <si>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</si>
  <si>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</si>
  <si>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</si>
  <si>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</si>
  <si>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</si>
  <si>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</si>
  <si>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</si>
  <si>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</si>
  <si>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</si>
  <si>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</si>
  <si>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</si>
  <si>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</si>
  <si>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</si>
  <si>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</si>
  <si>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</si>
  <si>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</si>
  <si>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</si>
  <si>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</si>
  <si>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</si>
  <si>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</si>
  <si>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</si>
  <si>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</si>
  <si>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</si>
  <si>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</si>
  <si>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</si>
  <si>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</si>
  <si>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</si>
  <si>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</si>
  <si>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</si>
  <si>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</si>
  <si>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</si>
  <si>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</si>
  <si>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</si>
  <si>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</si>
  <si>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</si>
  <si>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</si>
  <si>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</si>
  <si>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</si>
  <si>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</si>
  <si>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</si>
  <si>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</si>
  <si>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</si>
  <si>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</si>
  <si>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</si>
  <si>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</si>
  <si>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</si>
  <si>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</si>
  <si>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</si>
  <si>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</si>
  <si>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</si>
  <si>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</si>
  <si>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</si>
  <si>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</si>
  <si>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</si>
  <si>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</si>
  <si>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</si>
  <si>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</si>
  <si>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</si>
  <si>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</si>
  <si>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</si>
  <si>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</si>
  <si>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</si>
  <si>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</si>
  <si>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</si>
  <si>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</si>
  <si>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</si>
  <si>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</si>
  <si>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</si>
  <si>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</si>
  <si>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</si>
  <si>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</si>
  <si>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</si>
  <si>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</si>
  <si>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</si>
  <si>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</si>
  <si>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</si>
  <si>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</si>
  <si>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</si>
  <si>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</si>
  <si>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</si>
  <si>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</si>
  <si>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</si>
  <si>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</si>
  <si>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</si>
  <si>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</si>
  <si>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</si>
  <si>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</si>
  <si>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</si>
  <si>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</si>
  <si>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</si>
  <si>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</si>
  <si>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</si>
  <si>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</si>
  <si>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</si>
  <si>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</si>
  <si>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</si>
  <si>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</si>
  <si>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</si>
  <si>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</si>
  <si>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</si>
  <si>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</si>
  <si>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</si>
  <si>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</si>
  <si>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</si>
  <si>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</si>
  <si>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</si>
  <si>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</si>
  <si>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</si>
  <si>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</si>
  <si>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</si>
  <si>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</si>
  <si>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</si>
  <si>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</si>
  <si>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</si>
  <si>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</si>
  <si>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</si>
  <si>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</si>
  <si>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</si>
  <si>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</si>
  <si>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</si>
  <si>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</si>
  <si>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</si>
  <si>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</si>
  <si>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</si>
  <si>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</si>
  <si>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</si>
  <si>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</si>
  <si>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</si>
  <si>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</si>
  <si>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</si>
  <si>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</si>
  <si>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</si>
  <si>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</si>
  <si>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</si>
  <si>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</si>
  <si>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</si>
  <si>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</si>
  <si>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</si>
  <si>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</si>
  <si>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</si>
  <si>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</si>
  <si>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</si>
  <si>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</si>
  <si>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</si>
  <si>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</si>
  <si>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</si>
  <si>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</si>
  <si>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</si>
  <si>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</si>
  <si>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</si>
  <si>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</si>
  <si>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</si>
  <si>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</si>
  <si>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</si>
  <si>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</si>
  <si>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</si>
  <si>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</si>
  <si>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</si>
  <si>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</si>
  <si>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</si>
  <si>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</si>
  <si>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</si>
  <si>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</si>
  <si>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</si>
  <si>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</si>
  <si>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</si>
  <si>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</si>
  <si>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</si>
  <si>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</si>
  <si>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</si>
  <si>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</si>
  <si>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</si>
  <si>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</si>
  <si>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</si>
  <si>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</si>
  <si>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</si>
  <si>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</si>
  <si>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</si>
  <si>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</si>
  <si>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</si>
  <si>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</si>
  <si>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</si>
  <si>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</si>
  <si>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</si>
  <si>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</si>
  <si>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</si>
  <si>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</si>
  <si>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</si>
  <si>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</si>
  <si>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</si>
  <si>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</si>
  <si>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</si>
  <si>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</si>
  <si>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</si>
  <si>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</si>
  <si>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</si>
  <si>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</si>
  <si>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</si>
  <si>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</si>
  <si>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</si>
  <si>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</si>
  <si>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</si>
  <si>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</si>
  <si>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</si>
  <si>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</si>
  <si>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</si>
  <si>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</si>
  <si>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</si>
  <si>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</si>
  <si>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</si>
  <si>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</si>
  <si>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</si>
  <si>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</si>
  <si>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</si>
  <si>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</si>
  <si>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</si>
  <si>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</si>
  <si>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</si>
  <si>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</si>
  <si>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</si>
  <si>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</si>
  <si>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</si>
  <si>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</si>
  <si>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</si>
  <si>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</si>
  <si>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</si>
  <si>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</si>
  <si>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</si>
  <si>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</si>
  <si>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</si>
  <si>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</si>
  <si>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</si>
  <si>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</si>
  <si>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</si>
  <si>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</si>
  <si>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</si>
  <si>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</si>
  <si>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</si>
  <si>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</si>
  <si>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</si>
  <si>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</si>
  <si>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</si>
  <si>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</si>
  <si>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</si>
  <si>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</si>
  <si>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</si>
  <si>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</si>
  <si>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</si>
  <si>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</si>
  <si>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</si>
  <si>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</si>
  <si>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</si>
  <si>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</si>
  <si>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</si>
  <si>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</si>
  <si>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</si>
  <si>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</si>
  <si>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</si>
  <si>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</si>
  <si>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</si>
  <si>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</si>
  <si>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</si>
  <si>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</si>
  <si>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</si>
  <si>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</si>
  <si>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</si>
  <si>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</si>
  <si>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</si>
  <si>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</si>
  <si>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</si>
  <si>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</si>
  <si>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</si>
  <si>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</si>
  <si>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</si>
  <si>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</si>
  <si>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</si>
  <si>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</si>
  <si>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</si>
  <si>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</si>
  <si>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</si>
  <si>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</si>
  <si>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</si>
  <si>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</si>
  <si>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</si>
  <si>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</si>
  <si>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</si>
  <si>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</si>
  <si>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</si>
  <si>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</si>
  <si>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</si>
  <si>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</si>
  <si>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</si>
  <si>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</si>
  <si>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</si>
  <si>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</si>
  <si>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</si>
  <si>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</si>
  <si>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</si>
  <si>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</si>
  <si>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</si>
  <si>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</si>
  <si>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</si>
  <si>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</si>
  <si>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</si>
  <si>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</si>
  <si>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</si>
  <si>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</si>
  <si>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</si>
  <si>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</si>
  <si>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</si>
  <si>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</si>
  <si>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</si>
  <si>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</si>
  <si>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</si>
  <si>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</si>
  <si>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</si>
  <si>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</si>
  <si>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</si>
  <si>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</si>
  <si>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</si>
  <si>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</si>
  <si>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</si>
  <si>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</si>
  <si>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</si>
  <si>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</si>
  <si>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</si>
  <si>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</si>
  <si>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</si>
  <si>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</si>
  <si>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</si>
  <si>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</si>
  <si>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</si>
  <si>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</si>
  <si>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</si>
  <si>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</si>
  <si>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</si>
  <si>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</si>
  <si>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</si>
  <si>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</si>
  <si>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</si>
  <si>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</si>
  <si>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</si>
  <si>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</si>
  <si>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</si>
  <si>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</si>
  <si>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</si>
  <si>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</si>
  <si>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</si>
  <si>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</si>
  <si>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</si>
  <si>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</si>
  <si>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</si>
  <si>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</si>
  <si>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</si>
  <si>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</si>
  <si>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</si>
  <si>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</si>
  <si>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</si>
  <si>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</si>
  <si>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</si>
  <si>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</si>
  <si>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</si>
  <si>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</si>
  <si>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</si>
  <si>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</si>
  <si>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</si>
  <si>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</si>
  <si>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</si>
  <si>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</si>
  <si>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</si>
  <si>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</si>
  <si>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</si>
  <si>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</si>
  <si>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</si>
  <si>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</si>
  <si>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</si>
  <si>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</si>
  <si>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</si>
  <si>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</si>
  <si>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</si>
  <si>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</si>
  <si>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</si>
  <si>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</si>
  <si>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</si>
  <si>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</si>
  <si>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</si>
  <si>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</si>
  <si>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</si>
  <si>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</si>
  <si>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</si>
  <si>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</si>
  <si>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</si>
  <si>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</si>
  <si>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</si>
  <si>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</si>
  <si>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</si>
  <si>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</si>
  <si>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</si>
  <si>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</si>
  <si>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</si>
  <si>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</si>
  <si>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</si>
  <si>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</si>
  <si>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</si>
  <si>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</si>
  <si>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</si>
  <si>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</si>
  <si>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</si>
  <si>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</si>
  <si>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</si>
  <si>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</si>
  <si>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</si>
  <si>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</si>
  <si>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</si>
  <si>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</si>
  <si>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</si>
  <si>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</si>
  <si>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</si>
  <si>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</si>
  <si>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</si>
  <si>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</si>
  <si>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</si>
  <si>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</si>
  <si>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</si>
  <si>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</si>
  <si>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</si>
  <si>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</si>
  <si>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</si>
  <si>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</si>
  <si>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</si>
  <si>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</si>
  <si>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</si>
  <si>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</si>
  <si>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</si>
  <si>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</si>
  <si>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</si>
  <si>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</si>
  <si>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</si>
  <si>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</si>
  <si>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</si>
  <si>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</si>
  <si>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</si>
  <si>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</si>
  <si>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</si>
  <si>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</si>
  <si>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</si>
  <si>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</si>
  <si>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</si>
  <si>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</si>
  <si>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</si>
  <si>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</si>
  <si>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</si>
  <si>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</si>
  <si>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</si>
  <si>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</si>
  <si>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</si>
  <si>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</si>
  <si>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</si>
  <si>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</si>
  <si>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</si>
  <si>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</si>
  <si>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</si>
  <si>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</si>
  <si>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</si>
  <si>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</si>
  <si>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</si>
  <si>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</si>
  <si>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</si>
  <si>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</si>
  <si>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</si>
  <si>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</si>
  <si>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</si>
  <si>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</si>
  <si>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</si>
  <si>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</si>
  <si>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</si>
  <si>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</si>
  <si>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</si>
  <si>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</si>
  <si>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</si>
  <si>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</si>
  <si>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</si>
  <si>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</si>
  <si>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</si>
  <si>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</si>
  <si>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</si>
  <si>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</si>
  <si>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</si>
  <si>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</si>
  <si>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</si>
  <si>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</si>
  <si>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</si>
  <si>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</si>
  <si>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</si>
  <si>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</si>
  <si>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</si>
  <si>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</si>
  <si>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</si>
  <si>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</si>
  <si>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</si>
  <si>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</si>
  <si>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</si>
  <si>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</si>
  <si>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</si>
  <si>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</si>
  <si>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</si>
  <si>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</si>
  <si>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</si>
  <si>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</si>
  <si>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</si>
  <si>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</si>
  <si>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</si>
  <si>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</si>
  <si>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</si>
  <si>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</si>
  <si>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</si>
  <si>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</si>
  <si>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</si>
  <si>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</si>
  <si>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</si>
  <si>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</si>
  <si>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</si>
  <si>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</si>
  <si>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</si>
  <si>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</si>
  <si>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</si>
  <si>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</si>
  <si>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</si>
  <si>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</si>
  <si>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</si>
  <si>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</si>
  <si>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</si>
  <si>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</si>
  <si>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</si>
  <si>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</si>
  <si>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</si>
  <si>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</si>
  <si>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</si>
  <si>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</si>
  <si>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</si>
  <si>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</si>
  <si>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</si>
  <si>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</si>
  <si>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</si>
  <si>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</si>
  <si>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</si>
  <si>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</si>
  <si>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</si>
  <si>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</si>
  <si>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</si>
  <si>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</si>
  <si>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</si>
  <si>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</si>
  <si>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</si>
  <si>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</si>
  <si>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</si>
  <si>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</si>
  <si>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</si>
  <si>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</si>
  <si>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</si>
  <si>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</si>
  <si>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</si>
  <si>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</si>
  <si>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</si>
  <si>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</si>
  <si>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</si>
  <si>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</si>
  <si>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</si>
  <si>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</si>
  <si>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</si>
  <si>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</si>
  <si>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</si>
  <si>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</si>
  <si>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</si>
  <si>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</si>
  <si>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</si>
  <si>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</si>
  <si>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</si>
  <si>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</si>
  <si>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</si>
  <si>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</si>
  <si>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</si>
  <si>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</si>
  <si>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</si>
  <si>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</si>
  <si>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</si>
  <si>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</si>
  <si>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</si>
  <si>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</si>
  <si>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</si>
  <si>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</si>
  <si>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</si>
  <si>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</si>
  <si>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</si>
  <si>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</si>
  <si>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</si>
  <si>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</si>
  <si>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</si>
  <si>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</si>
  <si>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</si>
  <si>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</si>
  <si>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</si>
  <si>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</si>
  <si>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</si>
  <si>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</si>
  <si>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</si>
  <si>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</si>
  <si>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</si>
  <si>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</si>
  <si>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</si>
  <si>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</si>
  <si>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</si>
  <si>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</si>
  <si>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</si>
  <si>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</si>
  <si>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</si>
  <si>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</si>
  <si>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</si>
  <si>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</si>
  <si>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</si>
  <si>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</si>
  <si>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</si>
  <si>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</si>
  <si>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</si>
  <si>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</si>
  <si>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</si>
  <si>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</si>
  <si>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</si>
  <si>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</si>
  <si>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</si>
  <si>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</si>
  <si>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</si>
  <si>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</si>
  <si>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</si>
  <si>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</si>
  <si>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</si>
  <si>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</si>
  <si>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</si>
  <si>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</si>
  <si>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</si>
  <si>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</si>
  <si>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</si>
  <si>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</si>
  <si>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</si>
  <si>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</si>
  <si>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</si>
  <si>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</si>
  <si>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</si>
  <si>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</si>
  <si>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</si>
  <si>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</si>
  <si>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</si>
  <si>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</si>
  <si>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</si>
  <si>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</si>
  <si>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</si>
  <si>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</si>
  <si>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</si>
  <si>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</si>
  <si>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</si>
  <si>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</si>
  <si>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</si>
  <si>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</si>
  <si>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</si>
  <si>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</si>
  <si>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</si>
  <si>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</si>
  <si>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</si>
  <si>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</si>
  <si>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</si>
  <si>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</si>
  <si>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</si>
  <si>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</si>
  <si>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</si>
  <si>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</si>
  <si>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</si>
  <si>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</si>
  <si>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</si>
  <si>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</si>
  <si>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</si>
  <si>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</si>
  <si>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</si>
  <si>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</si>
  <si>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</si>
  <si>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</si>
  <si>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</si>
  <si>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</si>
  <si>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</si>
  <si>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</si>
  <si>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</si>
  <si>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</si>
  <si>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</si>
  <si>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</si>
  <si>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</si>
  <si>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</si>
  <si>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</si>
  <si>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</si>
  <si>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</si>
  <si>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</si>
  <si>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</si>
  <si>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</si>
  <si>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</si>
  <si>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</si>
  <si>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</si>
  <si>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</si>
  <si>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</si>
  <si>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</si>
  <si>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</si>
  <si>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</si>
  <si>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</si>
  <si>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</si>
  <si>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</si>
  <si>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</si>
  <si>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</si>
  <si>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</si>
  <si>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</si>
  <si>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</si>
  <si>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</si>
  <si>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</si>
  <si>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</si>
  <si>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</si>
  <si>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</si>
  <si>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</si>
  <si>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</si>
  <si>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</si>
  <si>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</si>
  <si>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</si>
  <si>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</si>
  <si>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</si>
  <si>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</si>
  <si>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</si>
  <si>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</si>
  <si>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</si>
  <si>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</si>
  <si>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</si>
  <si>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</si>
  <si>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</si>
  <si>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</si>
  <si>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</si>
  <si>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</si>
  <si>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</si>
  <si>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</si>
  <si>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</si>
  <si>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</si>
  <si>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</si>
  <si>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</si>
  <si>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</si>
  <si>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</si>
  <si>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</si>
  <si>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</si>
  <si>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</si>
  <si>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</si>
  <si>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</si>
  <si>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</si>
  <si>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</si>
  <si>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</si>
  <si>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</si>
  <si>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</si>
  <si>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</si>
  <si>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</si>
  <si>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</si>
  <si>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</si>
  <si>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</si>
  <si>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</si>
  <si>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</si>
  <si>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</si>
  <si>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</si>
  <si>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</si>
  <si>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</si>
  <si>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</si>
  <si>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</si>
  <si>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</si>
  <si>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</si>
  <si>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</si>
  <si>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</si>
  <si>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</si>
  <si>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</si>
  <si>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</si>
  <si>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</si>
  <si>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</si>
  <si>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</si>
  <si>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</si>
  <si>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</si>
  <si>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</si>
  <si>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</si>
  <si>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</si>
  <si>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</si>
  <si>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</si>
  <si>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</si>
  <si>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</si>
  <si>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</si>
  <si>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</si>
  <si>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</si>
  <si>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</si>
  <si>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</si>
  <si>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</si>
  <si>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</si>
  <si>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</si>
  <si>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</si>
  <si>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</si>
  <si>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</si>
  <si>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</si>
  <si>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</si>
  <si>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</si>
  <si>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</si>
  <si>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</si>
  <si>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</si>
  <si>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</si>
  <si>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</si>
  <si>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</si>
  <si>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</si>
  <si>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</si>
  <si>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</si>
  <si>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</si>
  <si>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</si>
  <si>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</si>
  <si>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</si>
  <si>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</si>
  <si>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</si>
  <si>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</si>
  <si>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</si>
  <si>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</si>
  <si>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</si>
  <si>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</si>
  <si>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</si>
  <si>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</si>
  <si>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</si>
  <si>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</si>
  <si>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</si>
  <si>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</si>
  <si>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</si>
  <si>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</si>
  <si>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</si>
  <si>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</si>
  <si>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</si>
  <si>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</si>
  <si>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</si>
  <si>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</si>
  <si>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</si>
  <si>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</si>
  <si>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</si>
  <si>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</si>
  <si>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</si>
  <si>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</si>
  <si>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</si>
  <si>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</si>
  <si>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</si>
  <si>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</si>
  <si>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</si>
  <si>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</si>
  <si>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</si>
  <si>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</si>
  <si>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</si>
  <si>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</si>
  <si>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</si>
  <si>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</si>
  <si>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</si>
  <si>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</si>
  <si>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</si>
  <si>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</si>
  <si>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</si>
  <si>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</si>
  <si>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</si>
  <si>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</si>
  <si>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</si>
  <si>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</si>
  <si>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</si>
  <si>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</si>
  <si>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</si>
  <si>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</si>
  <si>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</si>
  <si>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</si>
  <si>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</si>
  <si>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</si>
  <si>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</si>
  <si>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</si>
  <si>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</si>
  <si>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</si>
  <si>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</si>
  <si>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</si>
  <si>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</si>
  <si>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</si>
  <si>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</si>
  <si>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</si>
  <si>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</si>
  <si>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</si>
  <si>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</si>
  <si>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</si>
  <si>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</si>
  <si>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</si>
  <si>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</si>
  <si>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</si>
  <si>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</si>
  <si>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</si>
  <si>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</si>
  <si>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</si>
  <si>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</si>
  <si>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</si>
  <si>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</si>
  <si>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</si>
  <si>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</si>
  <si>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</si>
  <si>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</si>
  <si>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</si>
  <si>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</si>
  <si>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</si>
  <si>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</si>
  <si>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</si>
  <si>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</si>
  <si>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</si>
  <si>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</si>
  <si>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</si>
  <si>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</si>
  <si>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</si>
  <si>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</si>
  <si>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</si>
  <si>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</si>
  <si>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</si>
  <si>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</si>
  <si>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</si>
  <si>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</si>
  <si>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</si>
  <si>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</si>
  <si>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</si>
  <si>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</si>
  <si>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</si>
  <si>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</si>
  <si>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</si>
  <si>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</si>
  <si>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</si>
  <si>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</si>
  <si>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</si>
  <si>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</si>
  <si>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</si>
  <si>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</si>
  <si>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</si>
  <si>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</si>
  <si>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</si>
  <si>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</si>
  <si>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</si>
  <si>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</si>
  <si>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</si>
  <si>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</si>
  <si>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</si>
  <si>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</si>
  <si>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</si>
  <si>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</si>
  <si>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</si>
  <si>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</si>
  <si>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</si>
  <si>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</si>
  <si>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</si>
  <si>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</si>
  <si>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</si>
  <si>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</si>
  <si>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</si>
  <si>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</si>
  <si>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</si>
  <si>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</si>
  <si>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</si>
  <si>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</si>
  <si>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</si>
  <si>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</si>
  <si>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</si>
  <si>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</si>
  <si>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</si>
  <si>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</si>
  <si>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</si>
  <si>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</si>
  <si>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</si>
  <si>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</si>
  <si>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</si>
  <si>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</si>
  <si>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</si>
  <si>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</si>
  <si>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</si>
  <si>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</si>
  <si>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</si>
  <si>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</si>
  <si>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</si>
  <si>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</si>
  <si>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</si>
  <si>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</si>
  <si>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</si>
  <si>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</si>
  <si>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</si>
  <si>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</si>
  <si>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</si>
  <si>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</si>
  <si>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</si>
  <si>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</si>
  <si>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</si>
  <si>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</si>
  <si>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</si>
  <si>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</si>
  <si>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</si>
  <si>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</si>
  <si>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</si>
  <si>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</si>
  <si>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</si>
  <si>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</si>
  <si>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</si>
  <si>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</si>
  <si>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</si>
  <si>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</si>
  <si>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</si>
  <si>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</si>
  <si>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</si>
  <si>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</si>
  <si>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</si>
  <si>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</si>
  <si>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</si>
  <si>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</si>
  <si>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</si>
  <si>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</si>
  <si>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</si>
  <si>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</si>
  <si>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</si>
  <si>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</si>
  <si>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</si>
  <si>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</si>
  <si>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</si>
  <si>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</si>
  <si>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</si>
  <si>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</si>
  <si>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</si>
  <si>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</si>
  <si>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</si>
  <si>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</si>
  <si>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</si>
  <si>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</si>
  <si>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</si>
  <si>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</si>
  <si>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</si>
  <si>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</si>
  <si>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</si>
  <si>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</si>
  <si>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</si>
  <si>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</si>
  <si>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</si>
  <si>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</si>
  <si>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</si>
  <si>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</si>
  <si>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</si>
  <si>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</si>
  <si>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</si>
  <si>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</si>
  <si>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</si>
  <si>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</si>
  <si>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</si>
  <si>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</si>
  <si>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</si>
  <si>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</si>
  <si>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</si>
  <si>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</si>
  <si>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</si>
  <si>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</si>
  <si>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</si>
  <si>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</si>
  <si>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</si>
  <si>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</si>
  <si>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</si>
  <si>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</si>
  <si>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</si>
  <si>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</si>
  <si>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</si>
  <si>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</si>
  <si>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</si>
  <si>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</si>
  <si>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</si>
  <si>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</si>
  <si>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</si>
  <si>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</si>
  <si>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</si>
  <si>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</si>
  <si>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</si>
  <si>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</si>
  <si>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</si>
  <si>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</si>
  <si>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</si>
  <si>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</si>
  <si>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</si>
  <si>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</si>
  <si>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</si>
  <si>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</si>
  <si>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</si>
  <si>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</si>
  <si>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</si>
  <si>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</si>
  <si>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</si>
  <si>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</si>
  <si>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</si>
  <si>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</si>
  <si>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</si>
  <si>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</si>
  <si>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</si>
  <si>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</si>
  <si>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</si>
  <si>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</si>
  <si>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</si>
  <si>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</si>
  <si>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</si>
  <si>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</si>
  <si>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</si>
  <si>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</si>
  <si>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</si>
  <si>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</si>
  <si>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</si>
  <si>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</si>
  <si>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</si>
  <si>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</si>
  <si>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</si>
  <si>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</si>
  <si>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</si>
  <si>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</si>
  <si>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</si>
  <si>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</si>
  <si>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</si>
  <si>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</si>
  <si>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</si>
  <si>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</si>
  <si>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</si>
  <si>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</si>
  <si>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</si>
  <si>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</si>
  <si>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</si>
  <si>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</si>
  <si>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</si>
  <si>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</si>
  <si>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</si>
  <si>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</si>
  <si>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</si>
  <si>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</si>
  <si>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</si>
  <si>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</si>
  <si>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</si>
  <si>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</si>
  <si>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</si>
  <si>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</si>
  <si>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</si>
  <si>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</si>
  <si>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</si>
  <si>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</si>
  <si>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</si>
  <si>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</si>
  <si>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</si>
  <si>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</si>
  <si>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</si>
  <si>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</si>
  <si>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</si>
  <si>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</si>
  <si>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</si>
  <si>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</si>
  <si>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</si>
  <si>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</si>
  <si>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</si>
  <si>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</si>
  <si>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</si>
  <si>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</si>
  <si>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</si>
  <si>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</si>
  <si>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</si>
  <si>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</si>
  <si>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</si>
  <si>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</si>
  <si>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</si>
  <si>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</si>
  <si>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</si>
  <si>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</si>
  <si>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</si>
  <si>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</si>
  <si>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</si>
  <si>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</si>
  <si>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</si>
  <si>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</si>
  <si>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</si>
  <si>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</si>
  <si>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</si>
  <si>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</si>
  <si>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</si>
  <si>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</si>
  <si>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</si>
  <si>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</si>
  <si>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</si>
  <si>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</si>
  <si>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</si>
  <si>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</si>
  <si>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</si>
  <si>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</si>
  <si>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</si>
  <si>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</si>
  <si>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</si>
  <si>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</si>
  <si>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</si>
  <si>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</si>
  <si>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</si>
  <si>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</si>
  <si>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</si>
  <si>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</si>
  <si>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</si>
  <si>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</si>
  <si>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</si>
  <si>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</si>
  <si>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</si>
  <si>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</si>
  <si>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</si>
  <si>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</si>
  <si>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</si>
  <si>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</si>
  <si>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</si>
  <si>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</si>
  <si>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</si>
  <si>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</si>
  <si>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</si>
  <si>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</si>
  <si>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</si>
  <si>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</si>
  <si>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</si>
  <si>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</si>
  <si>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</si>
  <si>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</si>
  <si>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</si>
  <si>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</si>
  <si>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</si>
  <si>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</si>
  <si>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</si>
  <si>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</si>
  <si>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</si>
  <si>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</si>
  <si>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</si>
  <si>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</si>
  <si>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</si>
  <si>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</si>
  <si>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</si>
  <si>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</si>
  <si>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</si>
  <si>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</si>
  <si>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</si>
  <si>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</si>
  <si>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</si>
  <si>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</si>
  <si>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</si>
  <si>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</si>
  <si>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</si>
  <si>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</si>
  <si>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</si>
  <si>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</si>
  <si>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</si>
  <si>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</si>
  <si>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</si>
  <si>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</si>
  <si>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</si>
  <si>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</si>
  <si>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</si>
  <si>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</si>
  <si>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</si>
  <si>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</si>
  <si>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</si>
  <si>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</si>
  <si>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</si>
  <si>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</si>
  <si>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</si>
  <si>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</si>
  <si>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</si>
  <si>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</si>
  <si>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</si>
  <si>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</si>
  <si>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</si>
  <si>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</si>
  <si>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</si>
  <si>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</si>
  <si>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</si>
  <si>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</si>
  <si>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</si>
  <si>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</si>
  <si>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</si>
  <si>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</si>
  <si>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</si>
  <si>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</si>
  <si>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</si>
  <si>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</si>
  <si>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</si>
  <si>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</si>
  <si>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</si>
  <si>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</si>
  <si>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</si>
  <si>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</si>
  <si>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</si>
  <si>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</si>
  <si>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</si>
  <si>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</si>
  <si>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</si>
  <si>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</si>
  <si>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</si>
  <si>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</si>
  <si>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</si>
  <si>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</si>
  <si>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</si>
  <si>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</si>
  <si>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</si>
  <si>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</si>
  <si>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</si>
  <si>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</si>
  <si>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</si>
  <si>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</si>
  <si>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</si>
  <si>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</si>
  <si>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</si>
  <si>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</si>
  <si>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</si>
  <si>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</si>
  <si>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</si>
  <si>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</si>
  <si>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</si>
  <si>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</si>
  <si>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</si>
  <si>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</si>
  <si>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</si>
  <si>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</si>
  <si>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</si>
  <si>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</si>
  <si>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</si>
  <si>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</si>
  <si>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</si>
  <si>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</si>
  <si>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</si>
  <si>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</si>
  <si>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</si>
  <si>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</si>
  <si>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</si>
  <si>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</si>
  <si>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</si>
  <si>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</si>
  <si>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</si>
  <si>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</si>
  <si>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</si>
  <si>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</si>
  <si>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</si>
  <si>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</si>
  <si>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</si>
  <si>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</si>
  <si>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</si>
  <si>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</si>
  <si>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</si>
  <si>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</si>
  <si>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</si>
  <si>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</si>
  <si>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</si>
  <si>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</si>
  <si>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</si>
  <si>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</si>
  <si>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</si>
  <si>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</si>
  <si>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</si>
  <si>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</si>
  <si>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</si>
  <si>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</si>
  <si>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</si>
  <si>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</si>
  <si>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</si>
  <si>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</si>
  <si>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</si>
  <si>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</si>
  <si>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</si>
  <si>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</si>
  <si>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</si>
  <si>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</si>
  <si>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</si>
  <si>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</si>
  <si>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</si>
  <si>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</si>
  <si>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</si>
  <si>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</si>
  <si>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</si>
  <si>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</si>
  <si>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</si>
  <si>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</si>
  <si>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</si>
  <si>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</si>
  <si>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</si>
  <si>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</si>
  <si>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</si>
  <si>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</si>
  <si>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</si>
  <si>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</si>
  <si>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</si>
  <si>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</si>
  <si>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</si>
  <si>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</si>
  <si>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</si>
  <si>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</si>
  <si>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</si>
  <si>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</si>
  <si>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</si>
  <si>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</si>
  <si>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</si>
  <si>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</si>
  <si>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</si>
  <si>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</si>
  <si>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</si>
  <si>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</si>
  <si>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</si>
  <si>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</si>
  <si>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</si>
  <si>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</si>
  <si>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</si>
  <si>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</si>
  <si>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</si>
  <si>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</si>
  <si>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</si>
  <si>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</si>
  <si>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</si>
  <si>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</si>
  <si>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</si>
  <si>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</si>
  <si>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</si>
  <si>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</si>
  <si>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</si>
  <si>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</si>
  <si>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</si>
  <si>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</si>
  <si>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</si>
  <si>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</si>
  <si>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</si>
  <si>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</si>
  <si>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</si>
  <si>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</si>
  <si>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</si>
  <si>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</si>
  <si>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</si>
  <si>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</si>
  <si>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</si>
  <si>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</si>
  <si>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</si>
  <si>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</si>
  <si>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</si>
  <si>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</si>
  <si>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</si>
  <si>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</si>
  <si>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</si>
  <si>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</si>
  <si>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</si>
  <si>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</si>
  <si>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</si>
  <si>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</si>
  <si>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</si>
  <si>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</si>
  <si>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</si>
  <si>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</si>
  <si>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</si>
  <si>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</si>
  <si>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Average of Age</t>
  </si>
  <si>
    <t>Total Employee</t>
  </si>
  <si>
    <t>Attrition Count</t>
  </si>
  <si>
    <t>Average Age</t>
  </si>
  <si>
    <t>Active Employees</t>
  </si>
  <si>
    <t>Attrition Rate</t>
  </si>
  <si>
    <t>Sum of CF_attrition count</t>
  </si>
  <si>
    <t>Row Labels</t>
  </si>
  <si>
    <t>Grand Total</t>
  </si>
  <si>
    <t>Average of Job Satisfaction</t>
  </si>
  <si>
    <t>Rating</t>
  </si>
  <si>
    <t>Balanced Rating</t>
  </si>
  <si>
    <t>Count of Employee Count</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</si>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</sst>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2"/>
      <color theme="1"/>
      <name val="Calibri"/>
      <family val="2"/>
      <scheme val="minor"/>
    </font>
    <font>
      <b/>
      <sz val="12"/>
      <color theme="1"/>
      <name val="Calibri"/>
      <family val="2"/>
      <scheme val="minor"/>
    </font>
  </fonts>
  <fills count="13">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7" tint="0.39997558519241921"/>
        <bgColor indexed="64"/>
      </patternFill>
    </fill>
  </fills>
  <borders count="22">
    <border>
      <left/>
      <right/>
      <top/>
      <bottom/>
      <diagonal/>
    </border>
    <border>
      <left style="thin">
        <color rgb="FFABABAB"/>
      </left>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rgb="FFABABAB"/>
      </top>
      <bottom style="thin">
        <color indexed="64"/>
      </bottom>
      <diagonal/>
    </border>
    <border>
      <left style="thin">
        <color indexed="64"/>
      </left>
      <right style="thin">
        <color indexed="64"/>
      </right>
      <top style="thin">
        <color indexed="65"/>
      </top>
      <bottom/>
      <diagonal/>
    </border>
    <border>
      <left style="thin">
        <color indexed="64"/>
      </left>
      <right style="thin">
        <color indexed="64"/>
      </right>
      <top style="thin">
        <color indexed="65"/>
      </top>
      <bottom style="thin">
        <color indexed="64"/>
      </bottom>
      <diagonal/>
    </border>
  </borders>
  <cellStyleXfs count="2">
    <xf numFmtId="0" fontId="0" fillId="0" borderId="0"/>
    <xf numFmtId="9" fontId="1" fillId="0" borderId="0" applyFont="0" applyFill="0" applyBorder="0" applyAlignment="0" applyProtection="0"/>
  </cellStyleXfs>
  <cellXfs count="108">
    <xf numFmtId="0" fontId="0" fillId="0" borderId="0" xfId="0"/>
    <xf numFmtId="0" fontId="1" fillId="0" borderId="0" xfId="0" applyFont="1"/>
    <xf numFmtId="0" fontId="0" fillId="2" borderId="1" xfId="0" applyFill="1" applyBorder="1"/>
    <xf numFmtId="0" fontId="0" fillId="3" borderId="3" xfId="0" applyFill="1" applyBorder="1"/>
    <xf numFmtId="0" fontId="0" fillId="4" borderId="5" xfId="0" applyFill="1" applyBorder="1"/>
    <xf numFmtId="0" fontId="0" fillId="4" borderId="0" xfId="0" applyFill="1"/>
    <xf numFmtId="164" fontId="0" fillId="0" borderId="8" xfId="0" applyNumberFormat="1" applyBorder="1"/>
    <xf numFmtId="0" fontId="0" fillId="0" borderId="2" xfId="0" applyBorder="1"/>
    <xf numFmtId="0" fontId="0" fillId="0" borderId="4" xfId="0" applyBorder="1"/>
    <xf numFmtId="0" fontId="3" fillId="0" borderId="0" xfId="0" applyFont="1"/>
    <xf numFmtId="0" fontId="0" fillId="0" borderId="6"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 fontId="0" fillId="0" borderId="14" xfId="0" applyNumberFormat="1" applyBorder="1"/>
    <xf numFmtId="10" fontId="0" fillId="0" borderId="15" xfId="1" applyNumberFormat="1" applyFont="1" applyBorder="1"/>
    <xf numFmtId="0" fontId="0" fillId="5" borderId="10" xfId="0" applyFill="1" applyBorder="1"/>
    <xf numFmtId="0" fontId="0" fillId="5" borderId="11" xfId="0" applyFill="1" applyBorder="1"/>
    <xf numFmtId="0" fontId="0" fillId="5" borderId="12" xfId="0" applyFill="1" applyBorder="1"/>
    <xf numFmtId="0" fontId="0" fillId="5" borderId="7" xfId="0" applyFill="1" applyBorder="1"/>
    <xf numFmtId="164" fontId="0" fillId="0" borderId="11" xfId="0" applyNumberFormat="1" applyBorder="1"/>
    <xf numFmtId="164" fontId="0" fillId="0" borderId="14" xfId="0" applyNumberFormat="1" applyBorder="1"/>
    <xf numFmtId="0" fontId="0" fillId="0" borderId="15" xfId="0" applyBorder="1"/>
    <xf numFmtId="0" fontId="2" fillId="3" borderId="10" xfId="0" applyFont="1" applyFill="1" applyBorder="1"/>
    <xf numFmtId="0" fontId="2" fillId="3" borderId="13" xfId="0" applyFont="1" applyFill="1" applyBorder="1"/>
    <xf numFmtId="0" fontId="0" fillId="0" borderId="16" xfId="0" applyBorder="1"/>
    <xf numFmtId="0" fontId="0" fillId="0" borderId="17" xfId="0" applyBorder="1"/>
    <xf numFmtId="0" fontId="0" fillId="2" borderId="10" xfId="0" applyFill="1" applyBorder="1"/>
    <xf numFmtId="0" fontId="0" fillId="2" borderId="11" xfId="0" applyFill="1" applyBorder="1"/>
    <xf numFmtId="0" fontId="0" fillId="2" borderId="12" xfId="0" applyFill="1" applyBorder="1"/>
    <xf numFmtId="0" fontId="0" fillId="2" borderId="16" xfId="0" applyFill="1" applyBorder="1"/>
    <xf numFmtId="0" fontId="0" fillId="2" borderId="0" xfId="0" applyFill="1"/>
    <xf numFmtId="0" fontId="0" fillId="2" borderId="17" xfId="0" applyFill="1" applyBorder="1"/>
    <xf numFmtId="0" fontId="0" fillId="2" borderId="13" xfId="0" applyFill="1" applyBorder="1"/>
    <xf numFmtId="0" fontId="0" fillId="2" borderId="14" xfId="0" applyFill="1" applyBorder="1"/>
    <xf numFmtId="0" fontId="0" fillId="2" borderId="15" xfId="0" applyFill="1" applyBorder="1"/>
    <xf numFmtId="0" fontId="0" fillId="3" borderId="10" xfId="0" applyFill="1" applyBorder="1"/>
    <xf numFmtId="0" fontId="0" fillId="3" borderId="11" xfId="0" applyFill="1" applyBorder="1"/>
    <xf numFmtId="0" fontId="0" fillId="3" borderId="12" xfId="0" applyFill="1" applyBorder="1"/>
    <xf numFmtId="0" fontId="0" fillId="3" borderId="16" xfId="0" applyFill="1" applyBorder="1"/>
    <xf numFmtId="0" fontId="0" fillId="3" borderId="0" xfId="0" applyFill="1"/>
    <xf numFmtId="0" fontId="0" fillId="3" borderId="17" xfId="0" applyFill="1" applyBorder="1"/>
    <xf numFmtId="0" fontId="0" fillId="3" borderId="13" xfId="0" applyFill="1" applyBorder="1"/>
    <xf numFmtId="0" fontId="0" fillId="3" borderId="14" xfId="0" applyFill="1" applyBorder="1"/>
    <xf numFmtId="0" fontId="0" fillId="3" borderId="15" xfId="0" applyFill="1" applyBorder="1"/>
    <xf numFmtId="0" fontId="0" fillId="7" borderId="10" xfId="0" applyFill="1" applyBorder="1" applyAlignment="1">
      <alignment horizontal="left"/>
    </xf>
    <xf numFmtId="0" fontId="0" fillId="7" borderId="11" xfId="0" applyFill="1" applyBorder="1"/>
    <xf numFmtId="9" fontId="0" fillId="7" borderId="12" xfId="1" applyFont="1" applyFill="1" applyBorder="1"/>
    <xf numFmtId="0" fontId="0" fillId="7" borderId="13" xfId="0" applyFill="1" applyBorder="1" applyAlignment="1">
      <alignment horizontal="left"/>
    </xf>
    <xf numFmtId="9" fontId="0" fillId="7" borderId="15" xfId="1" applyFont="1" applyFill="1" applyBorder="1"/>
    <xf numFmtId="0" fontId="2" fillId="9" borderId="10" xfId="0" applyFont="1" applyFill="1" applyBorder="1"/>
    <xf numFmtId="0" fontId="2" fillId="9" borderId="12" xfId="0" applyFont="1" applyFill="1" applyBorder="1"/>
    <xf numFmtId="0" fontId="0" fillId="9" borderId="16" xfId="0" applyFill="1" applyBorder="1"/>
    <xf numFmtId="0" fontId="0" fillId="9" borderId="17" xfId="0" applyFill="1" applyBorder="1"/>
    <xf numFmtId="0" fontId="0" fillId="9" borderId="13" xfId="0" applyFill="1" applyBorder="1"/>
    <xf numFmtId="0" fontId="0" fillId="9" borderId="15" xfId="0" applyFill="1" applyBorder="1"/>
    <xf numFmtId="0" fontId="2" fillId="5" borderId="0" xfId="0" applyFont="1" applyFill="1"/>
    <xf numFmtId="0" fontId="0" fillId="5" borderId="0" xfId="0" applyFill="1"/>
    <xf numFmtId="0" fontId="0" fillId="0" borderId="18" xfId="0" applyBorder="1"/>
    <xf numFmtId="0" fontId="0" fillId="0" borderId="19" xfId="0" applyBorder="1"/>
    <xf numFmtId="0" fontId="0" fillId="0" borderId="9" xfId="0" applyBorder="1" applyAlignment="1">
      <alignment horizontal="left"/>
    </xf>
    <xf numFmtId="0" fontId="0" fillId="6" borderId="9" xfId="0" applyFill="1" applyBorder="1"/>
    <xf numFmtId="0" fontId="0" fillId="0" borderId="20" xfId="0" applyBorder="1"/>
    <xf numFmtId="0" fontId="0" fillId="0" borderId="18" xfId="0" applyBorder="1" applyAlignment="1">
      <alignment horizontal="left"/>
    </xf>
    <xf numFmtId="0" fontId="0" fillId="0" borderId="21" xfId="0" applyBorder="1" applyAlignment="1">
      <alignment horizontal="left"/>
    </xf>
    <xf numFmtId="0" fontId="0" fillId="11" borderId="9" xfId="0" applyFill="1" applyBorder="1"/>
    <xf numFmtId="0" fontId="0" fillId="11" borderId="18" xfId="0" applyFill="1" applyBorder="1" applyAlignment="1">
      <alignment horizontal="left"/>
    </xf>
    <xf numFmtId="0" fontId="0" fillId="11" borderId="18" xfId="0" applyFill="1" applyBorder="1"/>
    <xf numFmtId="0" fontId="0" fillId="11" borderId="20" xfId="0" applyFill="1" applyBorder="1" applyAlignment="1">
      <alignment horizontal="left"/>
    </xf>
    <xf numFmtId="0" fontId="0" fillId="11" borderId="20" xfId="0" applyFill="1" applyBorder="1"/>
    <xf numFmtId="0" fontId="0" fillId="11" borderId="21" xfId="0" applyFill="1" applyBorder="1" applyAlignment="1">
      <alignment horizontal="left"/>
    </xf>
    <xf numFmtId="0" fontId="0" fillId="11" borderId="9" xfId="0" applyFill="1" applyBorder="1" applyAlignment="1">
      <alignment horizontal="left"/>
    </xf>
    <xf numFmtId="0" fontId="0" fillId="11" borderId="19" xfId="0" applyFill="1" applyBorder="1"/>
    <xf numFmtId="0" fontId="0" fillId="2" borderId="9" xfId="0" applyFill="1" applyBorder="1"/>
    <xf numFmtId="0" fontId="0" fillId="2" borderId="18" xfId="0" applyFill="1" applyBorder="1" applyAlignment="1">
      <alignment horizontal="left"/>
    </xf>
    <xf numFmtId="0" fontId="0" fillId="2" borderId="18" xfId="0" applyFill="1" applyBorder="1"/>
    <xf numFmtId="0" fontId="0" fillId="2" borderId="20" xfId="0" applyFill="1" applyBorder="1" applyAlignment="1">
      <alignment horizontal="left"/>
    </xf>
    <xf numFmtId="0" fontId="0" fillId="2" borderId="20" xfId="0" applyFill="1" applyBorder="1"/>
    <xf numFmtId="0" fontId="0" fillId="2" borderId="21" xfId="0" applyFill="1" applyBorder="1" applyAlignment="1">
      <alignment horizontal="left"/>
    </xf>
    <xf numFmtId="0" fontId="0" fillId="2" borderId="9" xfId="0" applyFill="1" applyBorder="1" applyAlignment="1">
      <alignment horizontal="left"/>
    </xf>
    <xf numFmtId="0" fontId="0" fillId="2" borderId="19" xfId="0" applyFill="1" applyBorder="1"/>
    <xf numFmtId="0" fontId="0" fillId="8" borderId="9" xfId="0" applyFill="1" applyBorder="1"/>
    <xf numFmtId="0" fontId="0" fillId="8" borderId="18" xfId="0" applyFill="1" applyBorder="1" applyAlignment="1">
      <alignment horizontal="left"/>
    </xf>
    <xf numFmtId="0" fontId="0" fillId="8" borderId="18" xfId="0" applyFill="1" applyBorder="1"/>
    <xf numFmtId="0" fontId="0" fillId="8" borderId="20" xfId="0" applyFill="1" applyBorder="1" applyAlignment="1">
      <alignment horizontal="left"/>
    </xf>
    <xf numFmtId="0" fontId="0" fillId="8" borderId="20" xfId="0" applyFill="1" applyBorder="1"/>
    <xf numFmtId="0" fontId="0" fillId="8" borderId="21" xfId="0" applyFill="1" applyBorder="1" applyAlignment="1">
      <alignment horizontal="left"/>
    </xf>
    <xf numFmtId="0" fontId="0" fillId="8" borderId="9" xfId="0" applyFill="1" applyBorder="1" applyAlignment="1">
      <alignment horizontal="left"/>
    </xf>
    <xf numFmtId="0" fontId="0" fillId="8" borderId="19" xfId="0" applyFill="1" applyBorder="1"/>
    <xf numFmtId="0" fontId="0" fillId="10" borderId="9" xfId="0" applyFill="1" applyBorder="1"/>
    <xf numFmtId="0" fontId="0" fillId="10" borderId="18" xfId="0" applyFill="1" applyBorder="1" applyAlignment="1">
      <alignment horizontal="left"/>
    </xf>
    <xf numFmtId="10" fontId="0" fillId="10" borderId="18" xfId="0" applyNumberFormat="1" applyFill="1" applyBorder="1"/>
    <xf numFmtId="0" fontId="0" fillId="10" borderId="20" xfId="0" applyFill="1" applyBorder="1" applyAlignment="1">
      <alignment horizontal="left"/>
    </xf>
    <xf numFmtId="10" fontId="0" fillId="10" borderId="20" xfId="0" applyNumberFormat="1" applyFill="1" applyBorder="1"/>
    <xf numFmtId="0" fontId="0" fillId="10" borderId="21" xfId="0" applyFill="1" applyBorder="1" applyAlignment="1">
      <alignment horizontal="left"/>
    </xf>
    <xf numFmtId="0" fontId="0" fillId="10" borderId="9" xfId="0" applyFill="1" applyBorder="1" applyAlignment="1">
      <alignment horizontal="left"/>
    </xf>
    <xf numFmtId="10" fontId="0" fillId="10" borderId="19" xfId="0" applyNumberFormat="1" applyFill="1" applyBorder="1"/>
    <xf numFmtId="0" fontId="0" fillId="12" borderId="9" xfId="0" applyFill="1" applyBorder="1"/>
    <xf numFmtId="0" fontId="0" fillId="12" borderId="18" xfId="0" applyFill="1" applyBorder="1" applyAlignment="1">
      <alignment horizontal="left"/>
    </xf>
    <xf numFmtId="0" fontId="0" fillId="12" borderId="18" xfId="0" applyFill="1" applyBorder="1"/>
    <xf numFmtId="0" fontId="0" fillId="12" borderId="20" xfId="0" applyFill="1" applyBorder="1" applyAlignment="1">
      <alignment horizontal="left"/>
    </xf>
    <xf numFmtId="0" fontId="0" fillId="12" borderId="20" xfId="0" applyFill="1" applyBorder="1"/>
    <xf numFmtId="0" fontId="0" fillId="12" borderId="21" xfId="0" applyFill="1" applyBorder="1" applyAlignment="1">
      <alignment horizontal="left"/>
    </xf>
    <xf numFmtId="0" fontId="0" fillId="12" borderId="9" xfId="0" applyFill="1" applyBorder="1" applyAlignment="1">
      <alignment horizontal="left"/>
    </xf>
    <xf numFmtId="0" fontId="0" fillId="12" borderId="19" xfId="0" applyFill="1" applyBorder="1"/>
    <xf numFmtId="0" fontId="0" fillId="9" borderId="0" xfId="0" applyFill="1"/>
  </cellXfs>
  <cellStyles count="2">
    <cellStyle name="Normal" xfId="0" builtinId="0"/>
    <cellStyle name="Percent" xfId="1" builtinId="5"/>
  </cellStyles>
  <dxfs count="84">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2" tint="-0.249977111117893"/>
        </patternFill>
      </fill>
    </dxf>
    <dxf>
      <fill>
        <patternFill patternType="solid">
          <bgColor theme="2"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79998168889431442"/>
        </patternFill>
      </fill>
    </dxf>
    <dxf>
      <numFmt numFmtId="164" formatCode="0.0"/>
    </dxf>
    <dxf>
      <fill>
        <patternFill patternType="solid">
          <bgColor theme="4" tint="0.79998168889431442"/>
        </patternFill>
      </fill>
    </dxf>
    <dxf>
      <fill>
        <patternFill patternType="solid">
          <bgColor theme="5" tint="0.79998168889431442"/>
        </patternFill>
      </fill>
    </dxf>
    <dxf>
      <fill>
        <patternFill patternType="solid">
          <bgColor theme="7" tint="0.79998168889431442"/>
        </patternFill>
      </fill>
    </dxf>
    <dxf>
      <font>
        <b/>
        <i val="0"/>
        <color theme="1"/>
      </font>
      <fill>
        <patternFill>
          <bgColor theme="0"/>
        </patternFill>
      </fill>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83"/>
      <tableStyleElement type="firstRowStripe" dxfId="82"/>
      <tableStyleElement type="secondRowStripe" dxfId="81"/>
    </tableStyle>
    <tableStyle name="Slicer " pivot="0" table="0" count="5" xr9:uid="{F364FCF9-9E4A-4449-961E-F43BD9B30F43}">
      <tableStyleElement type="wholeTable" dxfId="80"/>
      <tableStyleElement type="headerRow" dxfId="79"/>
    </tableStyle>
  </tableStyles>
  <colors>
    <mruColors>
      <color rgb="FF760000"/>
      <color rgb="FFBA12A6"/>
      <color rgb="FFE91FD1"/>
      <color rgb="FF602928"/>
    </mruColors>
  </colors>
  <extLst>
    <ext xmlns:x14="http://schemas.microsoft.com/office/spreadsheetml/2009/9/main" uri="{46F421CA-312F-682f-3DD2-61675219B42D}">
      <x14:dxfs count="3">
        <dxf>
          <fill>
            <patternFill patternType="solid">
              <fgColor auto="1"/>
              <bgColor theme="0" tint="-0.24994659260841701"/>
            </patternFill>
          </fill>
        </dxf>
        <dxf>
          <font>
            <b/>
            <i val="0"/>
            <color theme="0" tint="-4.9989318521683403E-2"/>
            <name val="Calibri"/>
            <family val="2"/>
            <scheme val="minor"/>
          </font>
          <fill>
            <patternFill patternType="solid">
              <fgColor auto="1"/>
              <bgColor theme="9" tint="-0.24994659260841701"/>
            </patternFill>
          </fill>
        </dxf>
        <dxf>
          <fill>
            <patternFill patternType="solid">
              <fgColor auto="1"/>
              <bgColor theme="0" tint="-0.14996795556505021"/>
            </pattern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30952380952381"/>
          <c:y val="0.10196078431372549"/>
          <c:w val="0.50238095238095237"/>
          <c:h val="0.82745098039215681"/>
        </c:manualLayout>
      </c:layout>
      <c:doughnutChart>
        <c:varyColors val="1"/>
        <c:ser>
          <c:idx val="0"/>
          <c:order val="0"/>
          <c:dPt>
            <c:idx val="0"/>
            <c:bubble3D val="0"/>
            <c:spPr>
              <a:gradFill>
                <a:gsLst>
                  <a:gs pos="6000">
                    <a:schemeClr val="accent2">
                      <a:lumMod val="75000"/>
                    </a:schemeClr>
                  </a:gs>
                  <a:gs pos="100000">
                    <a:schemeClr val="accent6">
                      <a:lumMod val="75000"/>
                    </a:schemeClr>
                  </a:gs>
                </a:gsLst>
                <a:lin ang="0" scaled="0"/>
              </a:gradFill>
              <a:ln w="19050">
                <a:noFill/>
              </a:ln>
              <a:effectLst/>
            </c:spPr>
            <c:extLst>
              <c:ext xmlns:c16="http://schemas.microsoft.com/office/drawing/2014/chart" uri="{C3380CC4-5D6E-409C-BE32-E72D297353CC}">
                <c16:uniqueId val="{00000002-C7E9-452E-8C7C-45919410AE19}"/>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1-C7E9-452E-8C7C-45919410AE19}"/>
              </c:ext>
            </c:extLst>
          </c:dPt>
          <c:cat>
            <c:strRef>
              <c:f>Rating!$A$8:$A$9</c:f>
              <c:strCache>
                <c:ptCount val="2"/>
                <c:pt idx="0">
                  <c:v>Rating</c:v>
                </c:pt>
                <c:pt idx="1">
                  <c:v>Balanced Rating</c:v>
                </c:pt>
              </c:strCache>
            </c:strRef>
          </c:cat>
          <c:val>
            <c:numRef>
              <c:f>Rating!$B$8:$B$9</c:f>
              <c:numCache>
                <c:formatCode>0.0</c:formatCode>
                <c:ptCount val="2"/>
                <c:pt idx="0">
                  <c:v>2.6265306122448981</c:v>
                </c:pt>
                <c:pt idx="1">
                  <c:v>1.3734693877551019</c:v>
                </c:pt>
              </c:numCache>
            </c:numRef>
          </c:val>
          <c:extLst>
            <c:ext xmlns:c16="http://schemas.microsoft.com/office/drawing/2014/chart" uri="{C3380CC4-5D6E-409C-BE32-E72D297353CC}">
              <c16:uniqueId val="{00000000-C7E9-452E-8C7C-45919410AE1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BA12A6"/>
              </a:solidFill>
              <a:ln w="19050">
                <a:solidFill>
                  <a:schemeClr val="bg1">
                    <a:lumMod val="95000"/>
                  </a:schemeClr>
                </a:solidFill>
              </a:ln>
              <a:effectLst/>
            </c:spPr>
            <c:extLst>
              <c:ext xmlns:c16="http://schemas.microsoft.com/office/drawing/2014/chart" uri="{C3380CC4-5D6E-409C-BE32-E72D297353CC}">
                <c16:uniqueId val="{00000002-7BE9-477F-B491-8A6D56B0F019}"/>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1-7BE9-477F-B491-8A6D56B0F019}"/>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7BE9-477F-B491-8A6D56B0F01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schemeClr>
              </a:solidFill>
              <a:ln w="19050">
                <a:noFill/>
              </a:ln>
              <a:effectLst/>
            </c:spPr>
            <c:extLst>
              <c:ext xmlns:c16="http://schemas.microsoft.com/office/drawing/2014/chart" uri="{C3380CC4-5D6E-409C-BE32-E72D297353CC}">
                <c16:uniqueId val="{00000001-8A13-4126-9834-61A97BB8DC0C}"/>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8A13-4126-9834-61A97BB8DC0C}"/>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8A13-4126-9834-61A97BB8DC0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 poorna handra new v.xlsx]Education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58746024136475"/>
          <c:y val="3.8929440389294405E-2"/>
          <c:w val="0.74305140548006976"/>
          <c:h val="0.89294403892944041"/>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188-4878-9051-66805B3C62EB}"/>
            </c:ext>
          </c:extLst>
        </c:ser>
        <c:dLbls>
          <c:showLegendKey val="0"/>
          <c:showVal val="0"/>
          <c:showCatName val="0"/>
          <c:showSerName val="0"/>
          <c:showPercent val="0"/>
          <c:showBubbleSize val="0"/>
        </c:dLbls>
        <c:gapWidth val="182"/>
        <c:axId val="68079200"/>
        <c:axId val="68103200"/>
      </c:barChart>
      <c:catAx>
        <c:axId val="6807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3200"/>
        <c:crosses val="autoZero"/>
        <c:auto val="1"/>
        <c:lblAlgn val="ctr"/>
        <c:lblOffset val="100"/>
        <c:noMultiLvlLbl val="0"/>
      </c:catAx>
      <c:valAx>
        <c:axId val="68103200"/>
        <c:scaling>
          <c:orientation val="minMax"/>
        </c:scaling>
        <c:delete val="1"/>
        <c:axPos val="b"/>
        <c:numFmt formatCode="General" sourceLinked="1"/>
        <c:majorTickMark val="none"/>
        <c:minorTickMark val="none"/>
        <c:tickLblPos val="nextTo"/>
        <c:crossAx val="6807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 poorna handra new v.xlsx]Dept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F0-4D72-A2C5-A53B27CAE8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F0-4D72-A2C5-A53B27CAE8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F0-4D72-A2C5-A53B27CAE8B1}"/>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D75-4C4A-8EF3-E9ADB9E23A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 poorna handra new v.xlsx]Attrition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Under 25</c:v>
                </c:pt>
                <c:pt idx="1">
                  <c:v>25 - 34</c:v>
                </c:pt>
                <c:pt idx="2">
                  <c:v>35 - 44</c:v>
                </c:pt>
                <c:pt idx="3">
                  <c:v>45 - 54</c:v>
                </c:pt>
                <c:pt idx="4">
                  <c:v>Over 55</c:v>
                </c:pt>
              </c:strCache>
            </c:strRef>
          </c:cat>
          <c:val>
            <c:numRef>
              <c:f>'Attrition by Age Group'!$B$4:$B$9</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E687-475F-AA65-88F6B23D99A0}"/>
            </c:ext>
          </c:extLst>
        </c:ser>
        <c:dLbls>
          <c:showLegendKey val="0"/>
          <c:showVal val="0"/>
          <c:showCatName val="0"/>
          <c:showSerName val="0"/>
          <c:showPercent val="0"/>
          <c:showBubbleSize val="0"/>
        </c:dLbls>
        <c:gapWidth val="219"/>
        <c:overlap val="-27"/>
        <c:axId val="1972770128"/>
        <c:axId val="1972750448"/>
      </c:barChart>
      <c:catAx>
        <c:axId val="197277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50448"/>
        <c:crosses val="autoZero"/>
        <c:auto val="1"/>
        <c:lblAlgn val="ctr"/>
        <c:lblOffset val="100"/>
        <c:noMultiLvlLbl val="0"/>
      </c:catAx>
      <c:valAx>
        <c:axId val="1972750448"/>
        <c:scaling>
          <c:orientation val="minMax"/>
        </c:scaling>
        <c:delete val="1"/>
        <c:axPos val="l"/>
        <c:numFmt formatCode="General" sourceLinked="1"/>
        <c:majorTickMark val="none"/>
        <c:minorTickMark val="none"/>
        <c:tickLblPos val="nextTo"/>
        <c:crossAx val="197277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1"/>
          <c:order val="0"/>
          <c:spPr>
            <a:solidFill>
              <a:schemeClr val="bg1">
                <a:lumMod val="95000"/>
              </a:schemeClr>
            </a:solidFill>
            <a:ln>
              <a:noFill/>
            </a:ln>
            <a:effectLst/>
          </c:spPr>
          <c:invertIfNegative val="0"/>
          <c:val>
            <c:numRef>
              <c:f>[1]Rating!$B$8</c:f>
              <c:numCache>
                <c:formatCode>General</c:formatCode>
                <c:ptCount val="1"/>
                <c:pt idx="0">
                  <c:v>1.3734693877551019</c:v>
                </c:pt>
              </c:numCache>
            </c:numRef>
          </c:val>
          <c:extLst>
            <c:ext xmlns:c16="http://schemas.microsoft.com/office/drawing/2014/chart" uri="{C3380CC4-5D6E-409C-BE32-E72D297353CC}">
              <c16:uniqueId val="{00000001-DED3-4130-897C-4F45BBC1EA50}"/>
            </c:ext>
          </c:extLst>
        </c:ser>
        <c:dLbls>
          <c:showLegendKey val="0"/>
          <c:showVal val="0"/>
          <c:showCatName val="0"/>
          <c:showSerName val="0"/>
          <c:showPercent val="0"/>
          <c:showBubbleSize val="0"/>
        </c:dLbls>
        <c:gapWidth val="0"/>
        <c:overlap val="100"/>
        <c:axId val="1263702624"/>
        <c:axId val="1263703104"/>
      </c:barChart>
      <c:catAx>
        <c:axId val="1263702624"/>
        <c:scaling>
          <c:orientation val="minMax"/>
        </c:scaling>
        <c:delete val="1"/>
        <c:axPos val="l"/>
        <c:majorTickMark val="none"/>
        <c:minorTickMark val="none"/>
        <c:tickLblPos val="nextTo"/>
        <c:crossAx val="1263703104"/>
        <c:crosses val="autoZero"/>
        <c:auto val="1"/>
        <c:lblAlgn val="ctr"/>
        <c:lblOffset val="100"/>
        <c:noMultiLvlLbl val="0"/>
      </c:catAx>
      <c:valAx>
        <c:axId val="1263703104"/>
        <c:scaling>
          <c:orientation val="minMax"/>
          <c:max val="4"/>
        </c:scaling>
        <c:delete val="1"/>
        <c:axPos val="b"/>
        <c:numFmt formatCode="General" sourceLinked="1"/>
        <c:majorTickMark val="none"/>
        <c:minorTickMark val="none"/>
        <c:tickLblPos val="nextTo"/>
        <c:crossAx val="126370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98425482848533"/>
          <c:y val="0.11614773961307967"/>
          <c:w val="0.51754364678337117"/>
          <c:h val="0.77631577402374463"/>
        </c:manualLayout>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 poorna handra new v.xlsx]Dept wise Attrition!Dept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70AD47">
                <a:lumMod val="20000"/>
                <a:lumOff val="8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0">
                <a:schemeClr val="accent1">
                  <a:lumMod val="60000"/>
                  <a:lumOff val="40000"/>
                </a:schemeClr>
              </a:gs>
              <a:gs pos="100000">
                <a:schemeClr val="accent6">
                  <a:lumMod val="60000"/>
                  <a:lumOff val="40000"/>
                </a:schemeClr>
              </a:gs>
            </a:gsLst>
            <a:lin ang="5400000" scaled="1"/>
          </a:gradFill>
          <a:ln w="19050">
            <a:solidFill>
              <a:schemeClr val="lt1"/>
            </a:solidFill>
          </a:ln>
          <a:effectLst/>
        </c:spPr>
      </c:pivotFmt>
      <c:pivotFmt>
        <c:idx val="7"/>
        <c:spPr>
          <a:gradFill>
            <a:gsLst>
              <a:gs pos="0">
                <a:schemeClr val="accent1">
                  <a:lumMod val="50000"/>
                </a:schemeClr>
              </a:gs>
              <a:gs pos="100000">
                <a:schemeClr val="accent1">
                  <a:lumMod val="75000"/>
                </a:schemeClr>
              </a:gs>
            </a:gsLst>
            <a:lin ang="5400000" scaled="1"/>
          </a:gradFill>
          <a:ln w="19050">
            <a:solidFill>
              <a:schemeClr val="lt1"/>
            </a:solidFill>
          </a:ln>
          <a:effectLst/>
        </c:spPr>
      </c:pivotFmt>
      <c:pivotFmt>
        <c:idx val="8"/>
        <c:spPr>
          <a:gradFill>
            <a:gsLst>
              <a:gs pos="0">
                <a:srgbClr val="C00000"/>
              </a:gs>
              <a:gs pos="100000">
                <a:schemeClr val="accent2">
                  <a:lumMod val="60000"/>
                  <a:lumOff val="40000"/>
                </a:schemeClr>
              </a:gs>
            </a:gsLst>
            <a:lin ang="5400000" scaled="1"/>
          </a:gra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gradFill>
                <a:gsLst>
                  <a:gs pos="0">
                    <a:schemeClr val="accent1">
                      <a:lumMod val="60000"/>
                      <a:lumOff val="40000"/>
                    </a:schemeClr>
                  </a:gs>
                  <a:gs pos="100000">
                    <a:schemeClr val="accent6">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1-D223-4086-ACEF-F83905F9A024}"/>
              </c:ext>
            </c:extLst>
          </c:dPt>
          <c:dPt>
            <c:idx val="1"/>
            <c:bubble3D val="0"/>
            <c:spPr>
              <a:gradFill>
                <a:gsLst>
                  <a:gs pos="0">
                    <a:schemeClr val="accent1">
                      <a:lumMod val="50000"/>
                    </a:schemeClr>
                  </a:gs>
                  <a:gs pos="100000">
                    <a:schemeClr val="accent1">
                      <a:lumMod val="75000"/>
                    </a:schemeClr>
                  </a:gs>
                </a:gsLst>
                <a:lin ang="5400000" scaled="1"/>
              </a:gradFill>
              <a:ln w="19050">
                <a:solidFill>
                  <a:schemeClr val="lt1"/>
                </a:solidFill>
              </a:ln>
              <a:effectLst/>
            </c:spPr>
            <c:extLst>
              <c:ext xmlns:c16="http://schemas.microsoft.com/office/drawing/2014/chart" uri="{C3380CC4-5D6E-409C-BE32-E72D297353CC}">
                <c16:uniqueId val="{00000003-D223-4086-ACEF-F83905F9A024}"/>
              </c:ext>
            </c:extLst>
          </c:dPt>
          <c:dPt>
            <c:idx val="2"/>
            <c:bubble3D val="0"/>
            <c:spPr>
              <a:gradFill>
                <a:gsLst>
                  <a:gs pos="0">
                    <a:srgbClr val="C00000"/>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5-D223-4086-ACEF-F83905F9A024}"/>
              </c:ext>
            </c:extLst>
          </c:dPt>
          <c:dLbls>
            <c:spPr>
              <a:solidFill>
                <a:srgbClr val="70AD47">
                  <a:lumMod val="20000"/>
                  <a:lumOff val="8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D223-4086-ACEF-F83905F9A024}"/>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0424398101153005"/>
          <c:y val="0.30325016386359394"/>
          <c:w val="0.13277259905402192"/>
          <c:h val="0.35272252079771871"/>
        </c:manualLayout>
      </c:layout>
      <c:overlay val="0"/>
      <c:spPr>
        <a:noFill/>
        <a:ln>
          <a:solidFill>
            <a:schemeClr val="bg1">
              <a:lumMod val="85000"/>
            </a:schemeClr>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BA12A6"/>
              </a:solidFill>
              <a:ln w="19050">
                <a:solidFill>
                  <a:schemeClr val="bg1">
                    <a:lumMod val="95000"/>
                  </a:schemeClr>
                </a:solidFill>
              </a:ln>
              <a:effectLst/>
            </c:spPr>
            <c:extLst>
              <c:ext xmlns:c16="http://schemas.microsoft.com/office/drawing/2014/chart" uri="{C3380CC4-5D6E-409C-BE32-E72D297353CC}">
                <c16:uniqueId val="{00000001-C336-49B2-9171-499F11A045A0}"/>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C336-49B2-9171-499F11A045A0}"/>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C336-49B2-9171-499F11A045A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schemeClr>
              </a:solidFill>
              <a:ln w="19050">
                <a:noFill/>
              </a:ln>
              <a:effectLst/>
            </c:spPr>
            <c:extLst>
              <c:ext xmlns:c16="http://schemas.microsoft.com/office/drawing/2014/chart" uri="{C3380CC4-5D6E-409C-BE32-E72D297353CC}">
                <c16:uniqueId val="{00000001-6DE3-4894-B011-DDC2012AE58E}"/>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6DE3-4894-B011-DDC2012AE58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6DE3-4894-B011-DDC2012AE58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 poorna handra new v.xlsx]Education by Attrition!Education by Attrition</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5000">
                <a:schemeClr val="accent6">
                  <a:lumMod val="50000"/>
                </a:schemeClr>
              </a:gs>
              <a:gs pos="74000">
                <a:schemeClr val="accent4">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58746024136475"/>
          <c:y val="3.8929440389294405E-2"/>
          <c:w val="0.74305140548006976"/>
          <c:h val="0.89294403892944041"/>
        </c:manualLayout>
      </c:layout>
      <c:barChart>
        <c:barDir val="bar"/>
        <c:grouping val="clustered"/>
        <c:varyColors val="0"/>
        <c:ser>
          <c:idx val="0"/>
          <c:order val="0"/>
          <c:tx>
            <c:strRef>
              <c:f>'Education by Attrition'!$B$3</c:f>
              <c:strCache>
                <c:ptCount val="1"/>
                <c:pt idx="0">
                  <c:v>Total</c:v>
                </c:pt>
              </c:strCache>
            </c:strRef>
          </c:tx>
          <c:spPr>
            <a:gradFill>
              <a:gsLst>
                <a:gs pos="15000">
                  <a:schemeClr val="accent6">
                    <a:lumMod val="50000"/>
                  </a:schemeClr>
                </a:gs>
                <a:gs pos="74000">
                  <a:schemeClr val="accent4">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1BA-47A5-AFE9-13EF082D0053}"/>
            </c:ext>
          </c:extLst>
        </c:ser>
        <c:dLbls>
          <c:showLegendKey val="0"/>
          <c:showVal val="0"/>
          <c:showCatName val="0"/>
          <c:showSerName val="0"/>
          <c:showPercent val="0"/>
          <c:showBubbleSize val="0"/>
        </c:dLbls>
        <c:gapWidth val="182"/>
        <c:axId val="68079200"/>
        <c:axId val="68103200"/>
      </c:barChart>
      <c:catAx>
        <c:axId val="6807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j-lt"/>
                <a:ea typeface="+mn-ea"/>
                <a:cs typeface="Segoe UI" panose="020B0502040204020203" pitchFamily="34" charset="0"/>
              </a:defRPr>
            </a:pPr>
            <a:endParaRPr lang="en-US"/>
          </a:p>
        </c:txPr>
        <c:crossAx val="68103200"/>
        <c:crosses val="autoZero"/>
        <c:auto val="1"/>
        <c:lblAlgn val="ctr"/>
        <c:lblOffset val="100"/>
        <c:noMultiLvlLbl val="0"/>
      </c:catAx>
      <c:valAx>
        <c:axId val="68103200"/>
        <c:scaling>
          <c:orientation val="minMax"/>
        </c:scaling>
        <c:delete val="1"/>
        <c:axPos val="b"/>
        <c:numFmt formatCode="General" sourceLinked="1"/>
        <c:majorTickMark val="none"/>
        <c:minorTickMark val="none"/>
        <c:tickLblPos val="nextTo"/>
        <c:crossAx val="6807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 poorna handra new v.xlsx]Attrition by Age Group!Attrition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000">
                <a:srgbClr val="760000"/>
              </a:gs>
              <a:gs pos="80000">
                <a:schemeClr val="accent2">
                  <a:lumMod val="60000"/>
                  <a:lumOff val="4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6000">
                  <a:srgbClr val="760000"/>
                </a:gs>
                <a:gs pos="80000">
                  <a:schemeClr val="accent2">
                    <a:lumMod val="60000"/>
                    <a:lumOff val="4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Under 25</c:v>
                </c:pt>
                <c:pt idx="1">
                  <c:v>25 - 34</c:v>
                </c:pt>
                <c:pt idx="2">
                  <c:v>35 - 44</c:v>
                </c:pt>
                <c:pt idx="3">
                  <c:v>45 - 54</c:v>
                </c:pt>
                <c:pt idx="4">
                  <c:v>Over 55</c:v>
                </c:pt>
              </c:strCache>
            </c:strRef>
          </c:cat>
          <c:val>
            <c:numRef>
              <c:f>'Attrition by Age Group'!$B$4:$B$9</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930B-4312-A2EE-FF1A74036F3D}"/>
            </c:ext>
          </c:extLst>
        </c:ser>
        <c:dLbls>
          <c:showLegendKey val="0"/>
          <c:showVal val="0"/>
          <c:showCatName val="0"/>
          <c:showSerName val="0"/>
          <c:showPercent val="0"/>
          <c:showBubbleSize val="0"/>
        </c:dLbls>
        <c:gapWidth val="219"/>
        <c:overlap val="-27"/>
        <c:axId val="1972770128"/>
        <c:axId val="1972750448"/>
      </c:barChart>
      <c:catAx>
        <c:axId val="197277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j-lt"/>
                <a:ea typeface="+mn-ea"/>
                <a:cs typeface="Segoe UI" panose="020B0502040204020203" pitchFamily="34" charset="0"/>
              </a:defRPr>
            </a:pPr>
            <a:endParaRPr lang="en-US"/>
          </a:p>
        </c:txPr>
        <c:crossAx val="1972750448"/>
        <c:crosses val="autoZero"/>
        <c:auto val="1"/>
        <c:lblAlgn val="ctr"/>
        <c:lblOffset val="100"/>
        <c:noMultiLvlLbl val="0"/>
      </c:catAx>
      <c:valAx>
        <c:axId val="1972750448"/>
        <c:scaling>
          <c:orientation val="minMax"/>
        </c:scaling>
        <c:delete val="1"/>
        <c:axPos val="l"/>
        <c:numFmt formatCode="General" sourceLinked="1"/>
        <c:majorTickMark val="none"/>
        <c:minorTickMark val="none"/>
        <c:tickLblPos val="nextTo"/>
        <c:crossAx val="197277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30952380952381"/>
          <c:y val="0.10196078431372549"/>
          <c:w val="0.50238095238095237"/>
          <c:h val="0.82745098039215681"/>
        </c:manualLayout>
      </c:layout>
      <c:doughnutChart>
        <c:varyColors val="1"/>
        <c:ser>
          <c:idx val="0"/>
          <c:order val="0"/>
          <c:spPr>
            <a:gradFill>
              <a:gsLst>
                <a:gs pos="6000">
                  <a:schemeClr val="accent2">
                    <a:lumMod val="75000"/>
                  </a:schemeClr>
                </a:gs>
                <a:gs pos="100000">
                  <a:schemeClr val="accent6">
                    <a:lumMod val="75000"/>
                  </a:schemeClr>
                </a:gs>
              </a:gsLst>
              <a:lin ang="0" scaled="0"/>
            </a:gradFill>
          </c:spPr>
          <c:dPt>
            <c:idx val="0"/>
            <c:bubble3D val="0"/>
            <c:spPr>
              <a:gradFill>
                <a:gsLst>
                  <a:gs pos="6000">
                    <a:schemeClr val="accent2">
                      <a:lumMod val="75000"/>
                    </a:schemeClr>
                  </a:gs>
                  <a:gs pos="100000">
                    <a:schemeClr val="accent6">
                      <a:lumMod val="75000"/>
                    </a:schemeClr>
                  </a:gs>
                </a:gsLst>
                <a:lin ang="0" scaled="0"/>
              </a:gradFill>
              <a:ln w="19050">
                <a:noFill/>
              </a:ln>
              <a:effectLst/>
            </c:spPr>
            <c:extLst>
              <c:ext xmlns:c16="http://schemas.microsoft.com/office/drawing/2014/chart" uri="{C3380CC4-5D6E-409C-BE32-E72D297353CC}">
                <c16:uniqueId val="{00000001-C471-4FC1-AD18-1F7EB7143E3D}"/>
              </c:ext>
            </c:extLst>
          </c:dPt>
          <c:dPt>
            <c:idx val="1"/>
            <c:bubble3D val="0"/>
            <c:spPr>
              <a:noFill/>
              <a:ln w="19050">
                <a:noFill/>
              </a:ln>
              <a:effectLst/>
            </c:spPr>
            <c:extLst>
              <c:ext xmlns:c16="http://schemas.microsoft.com/office/drawing/2014/chart" uri="{C3380CC4-5D6E-409C-BE32-E72D297353CC}">
                <c16:uniqueId val="{00000003-C471-4FC1-AD18-1F7EB7143E3D}"/>
              </c:ext>
            </c:extLst>
          </c:dPt>
          <c:cat>
            <c:strRef>
              <c:f>Rating!$A$8:$A$9</c:f>
              <c:strCache>
                <c:ptCount val="2"/>
                <c:pt idx="0">
                  <c:v>Rating</c:v>
                </c:pt>
                <c:pt idx="1">
                  <c:v>Balanced Rating</c:v>
                </c:pt>
              </c:strCache>
            </c:strRef>
          </c:cat>
          <c:val>
            <c:numRef>
              <c:f>Rating!$B$8:$B$9</c:f>
              <c:numCache>
                <c:formatCode>0.0</c:formatCode>
                <c:ptCount val="2"/>
                <c:pt idx="0">
                  <c:v>2.6265306122448981</c:v>
                </c:pt>
                <c:pt idx="1">
                  <c:v>1.3734693877551019</c:v>
                </c:pt>
              </c:numCache>
            </c:numRef>
          </c:val>
          <c:extLst>
            <c:ext xmlns:c16="http://schemas.microsoft.com/office/drawing/2014/chart" uri="{C3380CC4-5D6E-409C-BE32-E72D297353CC}">
              <c16:uniqueId val="{00000004-C471-4FC1-AD18-1F7EB7143E3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[1]Rating!$B$7</c:f>
              <c:numCache>
                <c:formatCode>General</c:formatCode>
                <c:ptCount val="1"/>
                <c:pt idx="0">
                  <c:v>2.6265306122448981</c:v>
                </c:pt>
              </c:numCache>
            </c:numRef>
          </c:val>
          <c:extLst>
            <c:ext xmlns:c16="http://schemas.microsoft.com/office/drawing/2014/chart" uri="{C3380CC4-5D6E-409C-BE32-E72D297353CC}">
              <c16:uniqueId val="{00000000-2F95-41CD-B30B-069DC56D128D}"/>
            </c:ext>
          </c:extLst>
        </c:ser>
        <c:ser>
          <c:idx val="1"/>
          <c:order val="1"/>
          <c:spPr>
            <a:solidFill>
              <a:schemeClr val="bg1">
                <a:lumMod val="95000"/>
              </a:schemeClr>
            </a:solidFill>
            <a:ln>
              <a:noFill/>
            </a:ln>
            <a:effectLst/>
          </c:spPr>
          <c:invertIfNegative val="0"/>
          <c:val>
            <c:numRef>
              <c:f>[1]Rating!$B$8</c:f>
              <c:numCache>
                <c:formatCode>General</c:formatCode>
                <c:ptCount val="1"/>
                <c:pt idx="0">
                  <c:v>1.3734693877551019</c:v>
                </c:pt>
              </c:numCache>
            </c:numRef>
          </c:val>
          <c:extLst>
            <c:ext xmlns:c16="http://schemas.microsoft.com/office/drawing/2014/chart" uri="{C3380CC4-5D6E-409C-BE32-E72D297353CC}">
              <c16:uniqueId val="{00000001-2F95-41CD-B30B-069DC56D128D}"/>
            </c:ext>
          </c:extLst>
        </c:ser>
        <c:dLbls>
          <c:showLegendKey val="0"/>
          <c:showVal val="0"/>
          <c:showCatName val="0"/>
          <c:showSerName val="0"/>
          <c:showPercent val="0"/>
          <c:showBubbleSize val="0"/>
        </c:dLbls>
        <c:gapWidth val="0"/>
        <c:overlap val="100"/>
        <c:axId val="1263702624"/>
        <c:axId val="1263703104"/>
      </c:barChart>
      <c:catAx>
        <c:axId val="1263702624"/>
        <c:scaling>
          <c:orientation val="minMax"/>
        </c:scaling>
        <c:delete val="1"/>
        <c:axPos val="l"/>
        <c:majorTickMark val="none"/>
        <c:minorTickMark val="none"/>
        <c:tickLblPos val="nextTo"/>
        <c:crossAx val="1263703104"/>
        <c:crosses val="autoZero"/>
        <c:auto val="1"/>
        <c:lblAlgn val="ctr"/>
        <c:lblOffset val="100"/>
        <c:noMultiLvlLbl val="0"/>
      </c:catAx>
      <c:valAx>
        <c:axId val="1263703104"/>
        <c:scaling>
          <c:orientation val="minMax"/>
          <c:max val="4"/>
        </c:scaling>
        <c:delete val="1"/>
        <c:axPos val="b"/>
        <c:numFmt formatCode="General" sourceLinked="1"/>
        <c:majorTickMark val="none"/>
        <c:minorTickMark val="none"/>
        <c:tickLblPos val="nextTo"/>
        <c:crossAx val="126370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size">
        <cx:f>_xlchart.v1.0</cx:f>
      </cx:numDim>
    </cx:data>
  </cx:chartData>
  <cx:chart>
    <cx:plotArea>
      <cx:plotAreaRegion>
        <cx:series layoutId="treemap" uniqueId="{C9A1954D-7640-441F-B0D8-ED533F5747F0}">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size">
        <cx:f>_xlchart.v1.3</cx:f>
      </cx:numDim>
    </cx:data>
  </cx:chartData>
  <cx:chart>
    <cx:plotArea>
      <cx:plotAreaRegion>
        <cx:series layoutId="treemap" uniqueId="{869500AC-4D27-4525-B068-E3CE1DFE9C56}">
          <cx:tx>
            <cx:txData>
              <cx:f>_xlchart.v1.2</cx:f>
              <cx:v>Attrition</cx:v>
            </cx:txData>
          </cx:tx>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plotArea>
      <cx:plotAreaRegion>
        <cx:series layoutId="funnel" uniqueId="{6E236670-A3E8-4855-A408-2DB17E3974B2}">
          <cx:tx>
            <cx:txData>
              <cx:f>_xlchart.v2.5</cx:f>
              <cx:v>Attrition</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chartData>
  <cx:chart>
    <cx:plotArea>
      <cx:plotAreaRegion>
        <cx:series layoutId="treemap" uniqueId="{869500AC-4D27-4525-B068-E3CE1DFE9C56}">
          <cx:tx>
            <cx:txData>
              <cx:f>_xlchart.v1.11</cx:f>
              <cx:v>Attrition</cx:v>
            </cx:txData>
          </cx:tx>
          <cx:dataLabels pos="inEnd">
            <cx:txPr>
              <a:bodyPr spcFirstLastPara="1" vertOverflow="ellipsis" horzOverflow="overflow" wrap="square" lIns="0" tIns="0" rIns="0" bIns="0" anchor="ctr" anchorCtr="1"/>
              <a:lstStyle/>
              <a:p>
                <a:pPr algn="ctr" rtl="0">
                  <a:defRPr b="1"/>
                </a:pPr>
                <a:endParaRPr lang="en-US" sz="900" b="1" i="0" u="none" strike="noStrike" baseline="0">
                  <a:solidFill>
                    <a:srgbClr val="FFFFFF"/>
                  </a:solidFill>
                  <a:latin typeface="Calibri"/>
                  <a:cs typeface="Calibri"/>
                </a:endParaRPr>
              </a:p>
            </cx:txPr>
            <cx:visibility seriesName="0" categoryName="1" value="0"/>
            <cx:separator>, </cx:separator>
          </cx:dataLabels>
          <cx:dataId val="0"/>
          <cx:layoutPr>
            <cx:parentLabelLayout val="overlapping"/>
          </cx:layoutPr>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6E236670-A3E8-4855-A408-2DB17E3974B2}">
          <cx:tx>
            <cx:txData>
              <cx:f>_xlchart.v2.8</cx:f>
              <cx:v>Attrition</cx:v>
            </cx:txData>
          </cx:tx>
          <cx:spPr>
            <a:gradFill>
              <a:gsLst>
                <a:gs pos="6000">
                  <a:schemeClr val="accent2">
                    <a:lumMod val="75000"/>
                  </a:schemeClr>
                </a:gs>
                <a:gs pos="80000">
                  <a:schemeClr val="accent6">
                    <a:lumMod val="75000"/>
                  </a:schemeClr>
                </a:gs>
              </a:gsLst>
              <a:lin ang="0" scaled="0"/>
            </a:gradFill>
          </cx:spPr>
          <cx:dataLabels>
            <cx:txPr>
              <a:bodyPr spcFirstLastPara="1" vertOverflow="ellipsis" horzOverflow="overflow" wrap="square" lIns="0" tIns="0" rIns="0" bIns="0" anchor="ctr" anchorCtr="1"/>
              <a:lstStyle/>
              <a:p>
                <a:pPr algn="ctr" rtl="0">
                  <a:defRPr sz="1000" b="1">
                    <a:solidFill>
                      <a:schemeClr val="bg1"/>
                    </a:solidFill>
                    <a:latin typeface="Lato Black" panose="020F0A02020204030203" pitchFamily="34" charset="0"/>
                    <a:ea typeface="Lato Black" panose="020F0A02020204030203" pitchFamily="34" charset="0"/>
                    <a:cs typeface="Lato Black" panose="020F0A02020204030203" pitchFamily="34" charset="0"/>
                  </a:defRPr>
                </a:pPr>
                <a:endParaRPr lang="en-US" sz="1000" b="1" i="0" u="none" strike="noStrike" baseline="0">
                  <a:solidFill>
                    <a:schemeClr val="bg1"/>
                  </a:solidFill>
                  <a:latin typeface="Lato Black" panose="020F0A02020204030203" pitchFamily="34" charset="0"/>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3.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1.svg"/><Relationship Id="rId18" Type="http://schemas.openxmlformats.org/officeDocument/2006/relationships/chart" Target="../charts/chart11.xml"/><Relationship Id="rId3" Type="http://schemas.openxmlformats.org/officeDocument/2006/relationships/image" Target="../media/image3.png"/><Relationship Id="rId21" Type="http://schemas.microsoft.com/office/2014/relationships/chartEx" Target="../charts/chartEx6.xml"/><Relationship Id="rId7" Type="http://schemas.openxmlformats.org/officeDocument/2006/relationships/image" Target="../media/image7.png"/><Relationship Id="rId12" Type="http://schemas.openxmlformats.org/officeDocument/2006/relationships/image" Target="../media/image10.png"/><Relationship Id="rId17"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chart" Target="../charts/chart9.xml"/><Relationship Id="rId20"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9.svg"/><Relationship Id="rId5" Type="http://schemas.openxmlformats.org/officeDocument/2006/relationships/image" Target="../media/image5.png"/><Relationship Id="rId15" Type="http://schemas.microsoft.com/office/2014/relationships/chartEx" Target="../charts/chartEx5.xml"/><Relationship Id="rId23" Type="http://schemas.openxmlformats.org/officeDocument/2006/relationships/chart" Target="../charts/chart15.xml"/><Relationship Id="rId10" Type="http://schemas.openxmlformats.org/officeDocument/2006/relationships/image" Target="../media/image8.png"/><Relationship Id="rId19"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8.xml"/><Relationship Id="rId14" Type="http://schemas.microsoft.com/office/2014/relationships/chartEx" Target="../charts/chartEx4.xml"/><Relationship Id="rId22"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10</xdr:col>
      <xdr:colOff>22860</xdr:colOff>
      <xdr:row>3</xdr:row>
      <xdr:rowOff>1</xdr:rowOff>
    </xdr:from>
    <xdr:to>
      <xdr:col>12</xdr:col>
      <xdr:colOff>510540</xdr:colOff>
      <xdr:row>10</xdr:row>
      <xdr:rowOff>45721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D9B2C71E-FD7D-991C-BADC-E502C0A11FB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89820" y="59436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10</xdr:row>
      <xdr:rowOff>194310</xdr:rowOff>
    </xdr:from>
    <xdr:to>
      <xdr:col>5</xdr:col>
      <xdr:colOff>266700</xdr:colOff>
      <xdr:row>16</xdr:row>
      <xdr:rowOff>114300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DC2094C-DF89-5ED1-B3F1-3E572D840E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5260" y="2175510"/>
              <a:ext cx="4572000" cy="11087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830580</xdr:colOff>
      <xdr:row>17</xdr:row>
      <xdr:rowOff>26670</xdr:rowOff>
    </xdr:from>
    <xdr:to>
      <xdr:col>3</xdr:col>
      <xdr:colOff>358140</xdr:colOff>
      <xdr:row>25</xdr:row>
      <xdr:rowOff>60960</xdr:rowOff>
    </xdr:to>
    <xdr:graphicFrame macro="">
      <xdr:nvGraphicFramePr>
        <xdr:cNvPr id="3" name="Chart 2">
          <a:extLst>
            <a:ext uri="{FF2B5EF4-FFF2-40B4-BE49-F238E27FC236}">
              <a16:creationId xmlns:a16="http://schemas.microsoft.com/office/drawing/2014/main" id="{96D1427B-900F-C009-1BED-DAA8707AF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106680</xdr:colOff>
      <xdr:row>11</xdr:row>
      <xdr:rowOff>53341</xdr:rowOff>
    </xdr:from>
    <xdr:to>
      <xdr:col>10</xdr:col>
      <xdr:colOff>594360</xdr:colOff>
      <xdr:row>21</xdr:row>
      <xdr:rowOff>114301</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858F0087-E261-E751-34A1-6BD4910B73E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598920" y="2232661"/>
              <a:ext cx="1828800" cy="2042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68580</xdr:colOff>
      <xdr:row>11</xdr:row>
      <xdr:rowOff>30481</xdr:rowOff>
    </xdr:from>
    <xdr:to>
      <xdr:col>13</xdr:col>
      <xdr:colOff>556260</xdr:colOff>
      <xdr:row>15</xdr:row>
      <xdr:rowOff>175261</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1A2EEB8B-B8F7-19CB-AB78-20FFDE25670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572500" y="2209801"/>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617220</xdr:colOff>
      <xdr:row>13</xdr:row>
      <xdr:rowOff>118110</xdr:rowOff>
    </xdr:from>
    <xdr:to>
      <xdr:col>2</xdr:col>
      <xdr:colOff>7620</xdr:colOff>
      <xdr:row>23</xdr:row>
      <xdr:rowOff>7620</xdr:rowOff>
    </xdr:to>
    <xdr:graphicFrame macro="">
      <xdr:nvGraphicFramePr>
        <xdr:cNvPr id="2" name="Chart 1">
          <a:extLst>
            <a:ext uri="{FF2B5EF4-FFF2-40B4-BE49-F238E27FC236}">
              <a16:creationId xmlns:a16="http://schemas.microsoft.com/office/drawing/2014/main" id="{F9BAF788-00E4-72A5-DEF6-626998B15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381000</xdr:colOff>
      <xdr:row>7</xdr:row>
      <xdr:rowOff>160021</xdr:rowOff>
    </xdr:from>
    <xdr:to>
      <xdr:col>7</xdr:col>
      <xdr:colOff>198120</xdr:colOff>
      <xdr:row>18</xdr:row>
      <xdr:rowOff>99061</xdr:rowOff>
    </xdr:to>
    <mc:AlternateContent xmlns:mc="http://schemas.openxmlformats.org/markup-compatibility/2006" xmlns:a14="http://schemas.microsoft.com/office/drawing/2010/main">
      <mc:Choice Requires="a14">
        <xdr:graphicFrame macro="">
          <xdr:nvGraphicFramePr>
            <xdr:cNvPr id="3" name="Education Field 1">
              <a:extLst>
                <a:ext uri="{FF2B5EF4-FFF2-40B4-BE49-F238E27FC236}">
                  <a16:creationId xmlns:a16="http://schemas.microsoft.com/office/drawing/2014/main" id="{C481F542-35EE-CC3B-9D6A-0A1FE99C4764}"/>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389120" y="1546861"/>
              <a:ext cx="1828800" cy="2118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320040</xdr:colOff>
      <xdr:row>7</xdr:row>
      <xdr:rowOff>175261</xdr:rowOff>
    </xdr:from>
    <xdr:to>
      <xdr:col>10</xdr:col>
      <xdr:colOff>137160</xdr:colOff>
      <xdr:row>12</xdr:row>
      <xdr:rowOff>144781</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8F0C54B6-303F-3DCF-32E1-7A4B5833C3C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339840" y="1562101"/>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647700</xdr:colOff>
      <xdr:row>9</xdr:row>
      <xdr:rowOff>30480</xdr:rowOff>
    </xdr:from>
    <xdr:to>
      <xdr:col>15</xdr:col>
      <xdr:colOff>335280</xdr:colOff>
      <xdr:row>20</xdr:row>
      <xdr:rowOff>64770</xdr:rowOff>
    </xdr:to>
    <xdr:graphicFrame macro="">
      <xdr:nvGraphicFramePr>
        <xdr:cNvPr id="5" name="Chart 4">
          <a:extLst>
            <a:ext uri="{FF2B5EF4-FFF2-40B4-BE49-F238E27FC236}">
              <a16:creationId xmlns:a16="http://schemas.microsoft.com/office/drawing/2014/main" id="{27B2B6F3-B6BC-4F54-911B-DC099B9AD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388620</xdr:colOff>
      <xdr:row>17</xdr:row>
      <xdr:rowOff>106680</xdr:rowOff>
    </xdr:from>
    <xdr:to>
      <xdr:col>1</xdr:col>
      <xdr:colOff>998220</xdr:colOff>
      <xdr:row>19</xdr:row>
      <xdr:rowOff>31676</xdr:rowOff>
    </xdr:to>
    <xdr:sp macro="" textlink="Gender!C9">
      <xdr:nvSpPr>
        <xdr:cNvPr id="6" name="TextBox 5">
          <a:extLst>
            <a:ext uri="{FF2B5EF4-FFF2-40B4-BE49-F238E27FC236}">
              <a16:creationId xmlns:a16="http://schemas.microsoft.com/office/drawing/2014/main" id="{4231A42E-8678-4249-B6DE-E048CBF6BEE6}"/>
            </a:ext>
          </a:extLst>
        </xdr:cNvPr>
        <xdr:cNvSpPr txBox="1"/>
      </xdr:nvSpPr>
      <xdr:spPr>
        <a:xfrm>
          <a:off x="1318260" y="3474720"/>
          <a:ext cx="609600" cy="32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44D291A-BC73-4DAA-9145-778E8C77F43D}" type="TxLink">
            <a:rPr lang="en-US" sz="1200" b="0" i="0" u="none" strike="noStrike">
              <a:solidFill>
                <a:srgbClr val="000000"/>
              </a:solidFill>
              <a:latin typeface="Calibri"/>
              <a:cs typeface="Calibri"/>
            </a:rPr>
            <a:pPr algn="ctr"/>
            <a:t>40%</a:t>
          </a:fld>
          <a:endParaRPr lang="en-IN" sz="1100">
            <a:latin typeface="Lato Black" panose="020F0A0202020403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567690</xdr:colOff>
      <xdr:row>1</xdr:row>
      <xdr:rowOff>171450</xdr:rowOff>
    </xdr:from>
    <xdr:to>
      <xdr:col>9</xdr:col>
      <xdr:colOff>441960</xdr:colOff>
      <xdr:row>14</xdr:row>
      <xdr:rowOff>68580</xdr:rowOff>
    </xdr:to>
    <xdr:graphicFrame macro="">
      <xdr:nvGraphicFramePr>
        <xdr:cNvPr id="2" name="Chart 1">
          <a:extLst>
            <a:ext uri="{FF2B5EF4-FFF2-40B4-BE49-F238E27FC236}">
              <a16:creationId xmlns:a16="http://schemas.microsoft.com/office/drawing/2014/main" id="{40F394DE-156B-9081-21DB-936333773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461010</xdr:colOff>
      <xdr:row>1</xdr:row>
      <xdr:rowOff>186690</xdr:rowOff>
    </xdr:from>
    <xdr:to>
      <xdr:col>12</xdr:col>
      <xdr:colOff>213360</xdr:colOff>
      <xdr:row>13</xdr:row>
      <xdr:rowOff>121920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91B7B0E-AD43-975C-14BB-6DC5DA0852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96150" y="384810"/>
              <a:ext cx="4446270" cy="23126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323850</xdr:colOff>
      <xdr:row>1</xdr:row>
      <xdr:rowOff>179070</xdr:rowOff>
    </xdr:from>
    <xdr:to>
      <xdr:col>4</xdr:col>
      <xdr:colOff>236220</xdr:colOff>
      <xdr:row>7</xdr:row>
      <xdr:rowOff>68580</xdr:rowOff>
    </xdr:to>
    <xdr:graphicFrame macro="">
      <xdr:nvGraphicFramePr>
        <xdr:cNvPr id="2" name="Chart 1">
          <a:extLst>
            <a:ext uri="{FF2B5EF4-FFF2-40B4-BE49-F238E27FC236}">
              <a16:creationId xmlns:a16="http://schemas.microsoft.com/office/drawing/2014/main" id="{A35A1C53-BD28-027B-F871-5863FC34B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xdr:colOff>
      <xdr:row>1</xdr:row>
      <xdr:rowOff>194310</xdr:rowOff>
    </xdr:from>
    <xdr:to>
      <xdr:col>9</xdr:col>
      <xdr:colOff>552450</xdr:colOff>
      <xdr:row>15</xdr:row>
      <xdr:rowOff>163830</xdr:rowOff>
    </xdr:to>
    <xdr:graphicFrame macro="">
      <xdr:nvGraphicFramePr>
        <xdr:cNvPr id="2" name="Chart 1">
          <a:extLst>
            <a:ext uri="{FF2B5EF4-FFF2-40B4-BE49-F238E27FC236}">
              <a16:creationId xmlns:a16="http://schemas.microsoft.com/office/drawing/2014/main" id="{C0C13179-5B36-E6B3-0C0D-DC56094A1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640080</xdr:colOff>
      <xdr:row>8</xdr:row>
      <xdr:rowOff>53340</xdr:rowOff>
    </xdr:from>
    <xdr:to>
      <xdr:col>13</xdr:col>
      <xdr:colOff>457200</xdr:colOff>
      <xdr:row>21</xdr:row>
      <xdr:rowOff>173355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A45311E5-47A9-981A-4D0C-9FD2CB23917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671560" y="16383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525780</xdr:colOff>
      <xdr:row>8</xdr:row>
      <xdr:rowOff>45720</xdr:rowOff>
    </xdr:from>
    <xdr:to>
      <xdr:col>16</xdr:col>
      <xdr:colOff>342900</xdr:colOff>
      <xdr:row>21</xdr:row>
      <xdr:rowOff>165735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9FF3CC9E-E7BC-FCAF-030E-7ABBB4663E78}"/>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0568940" y="16306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3810</xdr:colOff>
      <xdr:row>2</xdr:row>
      <xdr:rowOff>3810</xdr:rowOff>
    </xdr:from>
    <xdr:to>
      <xdr:col>12</xdr:col>
      <xdr:colOff>552450</xdr:colOff>
      <xdr:row>15</xdr:row>
      <xdr:rowOff>171450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228EA28-032A-7B07-5211-F5E24D070E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22670" y="4000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21</xdr:col>
      <xdr:colOff>347507</xdr:colOff>
      <xdr:row>2</xdr:row>
      <xdr:rowOff>162487</xdr:rowOff>
    </xdr:from>
    <xdr:to>
      <xdr:col>24</xdr:col>
      <xdr:colOff>345441</xdr:colOff>
      <xdr:row>5</xdr:row>
      <xdr:rowOff>84046</xdr:rowOff>
    </xdr:to>
    <xdr:sp macro="" textlink="">
      <xdr:nvSpPr>
        <xdr:cNvPr id="24" name="Freeform: Shape 23">
          <a:extLst>
            <a:ext uri="{FF2B5EF4-FFF2-40B4-BE49-F238E27FC236}">
              <a16:creationId xmlns:a16="http://schemas.microsoft.com/office/drawing/2014/main" id="{C7F3C28B-F1CC-44C8-A318-51C714BE61A4}"/>
            </a:ext>
          </a:extLst>
        </xdr:cNvPr>
        <xdr:cNvSpPr/>
      </xdr:nvSpPr>
      <xdr:spPr>
        <a:xfrm>
          <a:off x="14215907" y="548567"/>
          <a:ext cx="1979134" cy="500679"/>
        </a:xfrm>
        <a:custGeom>
          <a:avLst/>
          <a:gdLst>
            <a:gd name="csX0" fmla="*/ 381212 w 2186609"/>
            <a:gd name="csY0" fmla="*/ 0 h 431612"/>
            <a:gd name="csX1" fmla="*/ 848140 w 2186609"/>
            <a:gd name="csY1" fmla="*/ 0 h 431612"/>
            <a:gd name="csX2" fmla="*/ 793028 w 2186609"/>
            <a:gd name="csY2" fmla="*/ 130048 h 431612"/>
            <a:gd name="csX3" fmla="*/ 614676 w 2186609"/>
            <a:gd name="csY3" fmla="*/ 130047 h 431612"/>
            <a:gd name="csX4" fmla="*/ 436324 w 2186609"/>
            <a:gd name="csY4" fmla="*/ 130048 h 431612"/>
            <a:gd name="csX5" fmla="*/ 0 w 2186609"/>
            <a:gd name="csY5" fmla="*/ 0 h 431612"/>
            <a:gd name="csX6" fmla="*/ 381212 w 2186609"/>
            <a:gd name="csY6" fmla="*/ 0 h 431612"/>
            <a:gd name="csX7" fmla="*/ 326100 w 2186609"/>
            <a:gd name="csY7" fmla="*/ 130048 h 431612"/>
            <a:gd name="csX8" fmla="*/ 147748 w 2186609"/>
            <a:gd name="csY8" fmla="*/ 130047 h 431612"/>
            <a:gd name="csX9" fmla="*/ 292038 w 2186609"/>
            <a:gd name="csY9" fmla="*/ 210420 h 431612"/>
            <a:gd name="csX10" fmla="*/ 236924 w 2186609"/>
            <a:gd name="csY10" fmla="*/ 340467 h 431612"/>
            <a:gd name="csX11" fmla="*/ 381212 w 2186609"/>
            <a:gd name="csY11" fmla="*/ 260093 h 431612"/>
            <a:gd name="csX12" fmla="*/ 525500 w 2186609"/>
            <a:gd name="csY12" fmla="*/ 340467 h 431612"/>
            <a:gd name="csX13" fmla="*/ 470386 w 2186609"/>
            <a:gd name="csY13" fmla="*/ 210420 h 431612"/>
            <a:gd name="csX14" fmla="*/ 614676 w 2186609"/>
            <a:gd name="csY14" fmla="*/ 130047 h 431612"/>
            <a:gd name="csX15" fmla="*/ 758966 w 2186609"/>
            <a:gd name="csY15" fmla="*/ 210420 h 431612"/>
            <a:gd name="csX16" fmla="*/ 703852 w 2186609"/>
            <a:gd name="csY16" fmla="*/ 340467 h 431612"/>
            <a:gd name="csX17" fmla="*/ 848140 w 2186609"/>
            <a:gd name="csY17" fmla="*/ 260093 h 431612"/>
            <a:gd name="csX18" fmla="*/ 992428 w 2186609"/>
            <a:gd name="csY18" fmla="*/ 340467 h 431612"/>
            <a:gd name="csX19" fmla="*/ 937314 w 2186609"/>
            <a:gd name="csY19" fmla="*/ 210420 h 431612"/>
            <a:gd name="csX20" fmla="*/ 1081604 w 2186609"/>
            <a:gd name="csY20" fmla="*/ 130047 h 431612"/>
            <a:gd name="csX21" fmla="*/ 903252 w 2186609"/>
            <a:gd name="csY21" fmla="*/ 130048 h 431612"/>
            <a:gd name="csX22" fmla="*/ 848140 w 2186609"/>
            <a:gd name="csY22" fmla="*/ 0 h 431612"/>
            <a:gd name="csX23" fmla="*/ 1356376 w 2186609"/>
            <a:gd name="csY23" fmla="*/ 0 h 431612"/>
            <a:gd name="csX24" fmla="*/ 1301264 w 2186609"/>
            <a:gd name="csY24" fmla="*/ 130048 h 431612"/>
            <a:gd name="csX25" fmla="*/ 1122912 w 2186609"/>
            <a:gd name="csY25" fmla="*/ 130047 h 431612"/>
            <a:gd name="csX26" fmla="*/ 1267202 w 2186609"/>
            <a:gd name="csY26" fmla="*/ 210420 h 431612"/>
            <a:gd name="csX27" fmla="*/ 1212088 w 2186609"/>
            <a:gd name="csY27" fmla="*/ 340467 h 431612"/>
            <a:gd name="csX28" fmla="*/ 1356376 w 2186609"/>
            <a:gd name="csY28" fmla="*/ 260093 h 431612"/>
            <a:gd name="csX29" fmla="*/ 1500664 w 2186609"/>
            <a:gd name="csY29" fmla="*/ 340467 h 431612"/>
            <a:gd name="csX30" fmla="*/ 1445550 w 2186609"/>
            <a:gd name="csY30" fmla="*/ 210420 h 431612"/>
            <a:gd name="csX31" fmla="*/ 1589840 w 2186609"/>
            <a:gd name="csY31" fmla="*/ 130047 h 431612"/>
            <a:gd name="csX32" fmla="*/ 1411488 w 2186609"/>
            <a:gd name="csY32" fmla="*/ 130048 h 431612"/>
            <a:gd name="csX33" fmla="*/ 1356376 w 2186609"/>
            <a:gd name="csY33" fmla="*/ 0 h 431612"/>
            <a:gd name="csX34" fmla="*/ 1915438 w 2186609"/>
            <a:gd name="csY34" fmla="*/ 0 h 431612"/>
            <a:gd name="csX35" fmla="*/ 1860326 w 2186609"/>
            <a:gd name="csY35" fmla="*/ 130048 h 431612"/>
            <a:gd name="csX36" fmla="*/ 1681974 w 2186609"/>
            <a:gd name="csY36" fmla="*/ 130047 h 431612"/>
            <a:gd name="csX37" fmla="*/ 1826264 w 2186609"/>
            <a:gd name="csY37" fmla="*/ 210420 h 431612"/>
            <a:gd name="csX38" fmla="*/ 1771150 w 2186609"/>
            <a:gd name="csY38" fmla="*/ 340467 h 431612"/>
            <a:gd name="csX39" fmla="*/ 1915438 w 2186609"/>
            <a:gd name="csY39" fmla="*/ 260093 h 431612"/>
            <a:gd name="csX40" fmla="*/ 2059726 w 2186609"/>
            <a:gd name="csY40" fmla="*/ 340467 h 431612"/>
            <a:gd name="csX41" fmla="*/ 2004612 w 2186609"/>
            <a:gd name="csY41" fmla="*/ 210420 h 431612"/>
            <a:gd name="csX42" fmla="*/ 2148902 w 2186609"/>
            <a:gd name="csY42" fmla="*/ 130047 h 431612"/>
            <a:gd name="csX43" fmla="*/ 1970550 w 2186609"/>
            <a:gd name="csY43" fmla="*/ 130048 h 431612"/>
            <a:gd name="csX44" fmla="*/ 1915438 w 2186609"/>
            <a:gd name="csY44" fmla="*/ 0 h 431612"/>
            <a:gd name="csX45" fmla="*/ 2186609 w 2186609"/>
            <a:gd name="csY45" fmla="*/ 0 h 431612"/>
            <a:gd name="csX46" fmla="*/ 2186609 w 2186609"/>
            <a:gd name="csY46" fmla="*/ 431612 h 431612"/>
            <a:gd name="csX47" fmla="*/ 0 w 2186609"/>
            <a:gd name="csY47" fmla="*/ 431612 h 4316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Lst>
          <a:rect l="l" t="t" r="r" b="b"/>
          <a:pathLst>
            <a:path w="2186609" h="431612">
              <a:moveTo>
                <a:pt x="381212" y="0"/>
              </a:moveTo>
              <a:lnTo>
                <a:pt x="848140" y="0"/>
              </a:lnTo>
              <a:lnTo>
                <a:pt x="793028" y="130048"/>
              </a:lnTo>
              <a:lnTo>
                <a:pt x="614676" y="130047"/>
              </a:lnTo>
              <a:lnTo>
                <a:pt x="436324" y="130048"/>
              </a:lnTo>
              <a:close/>
              <a:moveTo>
                <a:pt x="0" y="0"/>
              </a:moveTo>
              <a:lnTo>
                <a:pt x="381212" y="0"/>
              </a:lnTo>
              <a:lnTo>
                <a:pt x="326100" y="130048"/>
              </a:lnTo>
              <a:lnTo>
                <a:pt x="147748" y="130047"/>
              </a:lnTo>
              <a:lnTo>
                <a:pt x="292038" y="210420"/>
              </a:lnTo>
              <a:lnTo>
                <a:pt x="236924" y="340467"/>
              </a:lnTo>
              <a:lnTo>
                <a:pt x="381212" y="260093"/>
              </a:lnTo>
              <a:lnTo>
                <a:pt x="525500" y="340467"/>
              </a:lnTo>
              <a:lnTo>
                <a:pt x="470386" y="210420"/>
              </a:lnTo>
              <a:lnTo>
                <a:pt x="614676" y="130047"/>
              </a:lnTo>
              <a:lnTo>
                <a:pt x="758966" y="210420"/>
              </a:lnTo>
              <a:lnTo>
                <a:pt x="703852" y="340467"/>
              </a:lnTo>
              <a:lnTo>
                <a:pt x="848140" y="260093"/>
              </a:lnTo>
              <a:lnTo>
                <a:pt x="992428" y="340467"/>
              </a:lnTo>
              <a:lnTo>
                <a:pt x="937314" y="210420"/>
              </a:lnTo>
              <a:lnTo>
                <a:pt x="1081604" y="130047"/>
              </a:lnTo>
              <a:lnTo>
                <a:pt x="903252" y="130048"/>
              </a:lnTo>
              <a:lnTo>
                <a:pt x="848140" y="0"/>
              </a:lnTo>
              <a:lnTo>
                <a:pt x="1356376" y="0"/>
              </a:lnTo>
              <a:lnTo>
                <a:pt x="1301264" y="130048"/>
              </a:lnTo>
              <a:lnTo>
                <a:pt x="1122912" y="130047"/>
              </a:lnTo>
              <a:lnTo>
                <a:pt x="1267202" y="210420"/>
              </a:lnTo>
              <a:lnTo>
                <a:pt x="1212088" y="340467"/>
              </a:lnTo>
              <a:lnTo>
                <a:pt x="1356376" y="260093"/>
              </a:lnTo>
              <a:lnTo>
                <a:pt x="1500664" y="340467"/>
              </a:lnTo>
              <a:lnTo>
                <a:pt x="1445550" y="210420"/>
              </a:lnTo>
              <a:lnTo>
                <a:pt x="1589840" y="130047"/>
              </a:lnTo>
              <a:lnTo>
                <a:pt x="1411488" y="130048"/>
              </a:lnTo>
              <a:lnTo>
                <a:pt x="1356376" y="0"/>
              </a:lnTo>
              <a:lnTo>
                <a:pt x="1915438" y="0"/>
              </a:lnTo>
              <a:lnTo>
                <a:pt x="1860326" y="130048"/>
              </a:lnTo>
              <a:lnTo>
                <a:pt x="1681974" y="130047"/>
              </a:lnTo>
              <a:lnTo>
                <a:pt x="1826264" y="210420"/>
              </a:lnTo>
              <a:lnTo>
                <a:pt x="1771150" y="340467"/>
              </a:lnTo>
              <a:lnTo>
                <a:pt x="1915438" y="260093"/>
              </a:lnTo>
              <a:lnTo>
                <a:pt x="2059726" y="340467"/>
              </a:lnTo>
              <a:lnTo>
                <a:pt x="2004612" y="210420"/>
              </a:lnTo>
              <a:lnTo>
                <a:pt x="2148902" y="130047"/>
              </a:lnTo>
              <a:lnTo>
                <a:pt x="1970550" y="130048"/>
              </a:lnTo>
              <a:lnTo>
                <a:pt x="1915438" y="0"/>
              </a:lnTo>
              <a:lnTo>
                <a:pt x="2186609" y="0"/>
              </a:lnTo>
              <a:lnTo>
                <a:pt x="2186609" y="431612"/>
              </a:lnTo>
              <a:lnTo>
                <a:pt x="0" y="431612"/>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oneCellAnchor>
    <xdr:from>
      <xdr:col>2</xdr:col>
      <xdr:colOff>161314</xdr:colOff>
      <xdr:row>1</xdr:row>
      <xdr:rowOff>63723</xdr:rowOff>
    </xdr:from>
    <xdr:ext cx="15061329"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482114" y="256763"/>
          <a:ext cx="15061329"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3</xdr:col>
      <xdr:colOff>79063</xdr:colOff>
      <xdr:row>6</xdr:row>
      <xdr:rowOff>112521</xdr:rowOff>
    </xdr:from>
    <xdr:ext cx="1997649" cy="369332"/>
    <xdr:sp macro="" textlink="">
      <xdr:nvSpPr>
        <xdr:cNvPr id="3" name="TextBox 2">
          <a:extLst>
            <a:ext uri="{FF2B5EF4-FFF2-40B4-BE49-F238E27FC236}">
              <a16:creationId xmlns:a16="http://schemas.microsoft.com/office/drawing/2014/main" id="{142315C5-5C7A-7388-3C18-0F4CA7A2B2D0}"/>
            </a:ext>
          </a:extLst>
        </xdr:cNvPr>
        <xdr:cNvSpPr txBox="1"/>
      </xdr:nvSpPr>
      <xdr:spPr>
        <a:xfrm>
          <a:off x="2047563" y="1255521"/>
          <a:ext cx="1997649" cy="3693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solidFill>
                <a:srgbClr val="602928"/>
              </a:solidFill>
              <a:latin typeface="Lato Black" panose="020F0A02020204030203" pitchFamily="34" charset="0"/>
            </a:rPr>
            <a:t>Total</a:t>
          </a:r>
          <a:r>
            <a:rPr lang="en-IN" sz="1800" baseline="0">
              <a:solidFill>
                <a:srgbClr val="602928"/>
              </a:solidFill>
              <a:latin typeface="Lato Black" panose="020F0A02020204030203" pitchFamily="34" charset="0"/>
            </a:rPr>
            <a:t> Employees</a:t>
          </a:r>
          <a:endParaRPr lang="en-IN" sz="1800">
            <a:solidFill>
              <a:srgbClr val="602928"/>
            </a:solidFill>
            <a:latin typeface="Lato Black" panose="020F0A02020204030203" pitchFamily="34" charset="0"/>
            <a:ea typeface="+mn-ea"/>
            <a:cs typeface="+mn-cs"/>
          </a:endParaRPr>
        </a:p>
      </xdr:txBody>
    </xdr:sp>
    <xdr:clientData/>
  </xdr:oneCellAnchor>
  <xdr:oneCellAnchor>
    <xdr:from>
      <xdr:col>2</xdr:col>
      <xdr:colOff>574489</xdr:colOff>
      <xdr:row>8</xdr:row>
      <xdr:rowOff>96370</xdr:rowOff>
    </xdr:from>
    <xdr:ext cx="2196353" cy="441511"/>
    <xdr:sp macro="" textlink="KPI!A8">
      <xdr:nvSpPr>
        <xdr:cNvPr id="5" name="TextBox 4">
          <a:extLst>
            <a:ext uri="{FF2B5EF4-FFF2-40B4-BE49-F238E27FC236}">
              <a16:creationId xmlns:a16="http://schemas.microsoft.com/office/drawing/2014/main" id="{6BF99876-A66C-4CBC-9F97-7DE65EAB3886}"/>
            </a:ext>
          </a:extLst>
        </xdr:cNvPr>
        <xdr:cNvSpPr txBox="1"/>
      </xdr:nvSpPr>
      <xdr:spPr>
        <a:xfrm>
          <a:off x="1886822" y="1620370"/>
          <a:ext cx="2196353" cy="4415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28B5B80-A8FC-404F-AF98-F44F865C820B}" type="TxLink">
            <a:rPr lang="en-US" sz="2600" b="0" i="0" u="none" strike="noStrike">
              <a:solidFill>
                <a:srgbClr val="002060"/>
              </a:solidFill>
              <a:latin typeface="Lato Black" panose="020F0A02020204030203" pitchFamily="34" charset="0"/>
              <a:cs typeface="Calibri"/>
            </a:rPr>
            <a:pPr algn="ctr"/>
            <a:t>1470</a:t>
          </a:fld>
          <a:endParaRPr lang="en-IN" sz="2600">
            <a:solidFill>
              <a:srgbClr val="002060"/>
            </a:solidFill>
            <a:latin typeface="Lato Black" panose="020F0A02020204030203" pitchFamily="34" charset="0"/>
          </a:endParaRPr>
        </a:p>
      </xdr:txBody>
    </xdr:sp>
    <xdr:clientData/>
  </xdr:oneCellAnchor>
  <xdr:oneCellAnchor>
    <xdr:from>
      <xdr:col>8</xdr:col>
      <xdr:colOff>246531</xdr:colOff>
      <xdr:row>6</xdr:row>
      <xdr:rowOff>130484</xdr:rowOff>
    </xdr:from>
    <xdr:ext cx="1141514" cy="328956"/>
    <xdr:sp macro="" textlink="">
      <xdr:nvSpPr>
        <xdr:cNvPr id="6" name="TextBox 5">
          <a:extLst>
            <a:ext uri="{FF2B5EF4-FFF2-40B4-BE49-F238E27FC236}">
              <a16:creationId xmlns:a16="http://schemas.microsoft.com/office/drawing/2014/main" id="{AF393BA3-AF36-4699-97A2-7FAFD9E12AD9}"/>
            </a:ext>
          </a:extLst>
        </xdr:cNvPr>
        <xdr:cNvSpPr txBox="1"/>
      </xdr:nvSpPr>
      <xdr:spPr>
        <a:xfrm>
          <a:off x="5446060" y="1273484"/>
          <a:ext cx="1141514" cy="3289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solidFill>
                <a:srgbClr val="602928"/>
              </a:solidFill>
              <a:latin typeface="Lato Black" panose="020F0A02020204030203" pitchFamily="34" charset="0"/>
              <a:ea typeface="+mn-ea"/>
              <a:cs typeface="+mn-cs"/>
            </a:rPr>
            <a:t>Attrition</a:t>
          </a:r>
        </a:p>
      </xdr:txBody>
    </xdr:sp>
    <xdr:clientData/>
  </xdr:oneCellAnchor>
  <xdr:oneCellAnchor>
    <xdr:from>
      <xdr:col>7</xdr:col>
      <xdr:colOff>356722</xdr:colOff>
      <xdr:row>8</xdr:row>
      <xdr:rowOff>114300</xdr:rowOff>
    </xdr:from>
    <xdr:ext cx="2209800" cy="441511"/>
    <xdr:sp macro="" textlink="KPI!B8">
      <xdr:nvSpPr>
        <xdr:cNvPr id="8" name="TextBox 7">
          <a:extLst>
            <a:ext uri="{FF2B5EF4-FFF2-40B4-BE49-F238E27FC236}">
              <a16:creationId xmlns:a16="http://schemas.microsoft.com/office/drawing/2014/main" id="{D348CBCB-85EE-4627-9F67-0E52EAB2F473}"/>
            </a:ext>
          </a:extLst>
        </xdr:cNvPr>
        <xdr:cNvSpPr txBox="1"/>
      </xdr:nvSpPr>
      <xdr:spPr>
        <a:xfrm>
          <a:off x="4949889" y="1638300"/>
          <a:ext cx="2209800" cy="4415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85D661ED-7050-4D97-8253-F066AEA5D728}" type="TxLink">
            <a:rPr lang="en-US" sz="2600" b="0" i="0" u="none" strike="noStrike">
              <a:solidFill>
                <a:srgbClr val="002060"/>
              </a:solidFill>
              <a:latin typeface="Lato Black" panose="020F0A02020204030203" pitchFamily="34" charset="0"/>
              <a:ea typeface="+mn-ea"/>
              <a:cs typeface="Calibri"/>
            </a:rPr>
            <a:pPr marL="0" indent="0" algn="ctr"/>
            <a:t>237</a:t>
          </a:fld>
          <a:endParaRPr lang="en-IN" sz="2600" b="0" i="0" u="none" strike="noStrike">
            <a:solidFill>
              <a:srgbClr val="002060"/>
            </a:solidFill>
            <a:latin typeface="Lato Black" panose="020F0A02020204030203" pitchFamily="34" charset="0"/>
            <a:ea typeface="+mn-ea"/>
            <a:cs typeface="Calibri"/>
          </a:endParaRPr>
        </a:p>
      </xdr:txBody>
    </xdr:sp>
    <xdr:clientData/>
  </xdr:oneCellAnchor>
  <xdr:oneCellAnchor>
    <xdr:from>
      <xdr:col>12</xdr:col>
      <xdr:colOff>30504</xdr:colOff>
      <xdr:row>8</xdr:row>
      <xdr:rowOff>111436</xdr:rowOff>
    </xdr:from>
    <xdr:ext cx="1748118" cy="441511"/>
    <xdr:sp macro="" textlink="KPI!D8">
      <xdr:nvSpPr>
        <xdr:cNvPr id="10" name="TextBox 9">
          <a:extLst>
            <a:ext uri="{FF2B5EF4-FFF2-40B4-BE49-F238E27FC236}">
              <a16:creationId xmlns:a16="http://schemas.microsoft.com/office/drawing/2014/main" id="{07957F3E-4539-46E5-A2FF-A96B64FA5A42}"/>
            </a:ext>
          </a:extLst>
        </xdr:cNvPr>
        <xdr:cNvSpPr txBox="1"/>
      </xdr:nvSpPr>
      <xdr:spPr>
        <a:xfrm>
          <a:off x="7904504" y="1635436"/>
          <a:ext cx="1748118" cy="4415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834CE034-4DC5-43EC-B364-834B89D86BC3}" type="TxLink">
            <a:rPr lang="en-US" sz="2600" b="0" i="0" u="none" strike="noStrike">
              <a:solidFill>
                <a:srgbClr val="002060"/>
              </a:solidFill>
              <a:latin typeface="Lato Black" panose="020F0A02020204030203" pitchFamily="34" charset="0"/>
              <a:ea typeface="+mn-ea"/>
              <a:cs typeface="Calibri"/>
            </a:rPr>
            <a:pPr marL="0" indent="0" algn="ctr"/>
            <a:t>1233</a:t>
          </a:fld>
          <a:endParaRPr lang="en-IN" sz="2600" b="0" i="0" u="none" strike="noStrike">
            <a:solidFill>
              <a:srgbClr val="002060"/>
            </a:solidFill>
            <a:latin typeface="Lato Black" panose="020F0A02020204030203" pitchFamily="34" charset="0"/>
            <a:ea typeface="+mn-ea"/>
            <a:cs typeface="Calibri"/>
          </a:endParaRPr>
        </a:p>
      </xdr:txBody>
    </xdr:sp>
    <xdr:clientData/>
  </xdr:oneCellAnchor>
  <xdr:oneCellAnchor>
    <xdr:from>
      <xdr:col>11</xdr:col>
      <xdr:colOff>553819</xdr:colOff>
      <xdr:row>6</xdr:row>
      <xdr:rowOff>147544</xdr:rowOff>
    </xdr:from>
    <xdr:ext cx="2208431" cy="371039"/>
    <xdr:sp macro="" textlink="">
      <xdr:nvSpPr>
        <xdr:cNvPr id="11" name="TextBox 10">
          <a:extLst>
            <a:ext uri="{FF2B5EF4-FFF2-40B4-BE49-F238E27FC236}">
              <a16:creationId xmlns:a16="http://schemas.microsoft.com/office/drawing/2014/main" id="{BE05004E-BCE7-47DA-9910-B79AF0590627}"/>
            </a:ext>
          </a:extLst>
        </xdr:cNvPr>
        <xdr:cNvSpPr txBox="1"/>
      </xdr:nvSpPr>
      <xdr:spPr>
        <a:xfrm>
          <a:off x="7771652" y="1290544"/>
          <a:ext cx="2208431" cy="37103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solidFill>
                <a:srgbClr val="602928"/>
              </a:solidFill>
              <a:latin typeface="Lato Black" panose="020F0A02020204030203" pitchFamily="34" charset="0"/>
              <a:ea typeface="+mn-ea"/>
              <a:cs typeface="+mn-cs"/>
            </a:rPr>
            <a:t>Active Employees</a:t>
          </a:r>
        </a:p>
      </xdr:txBody>
    </xdr:sp>
    <xdr:clientData/>
  </xdr:oneCellAnchor>
  <xdr:oneCellAnchor>
    <xdr:from>
      <xdr:col>16</xdr:col>
      <xdr:colOff>511364</xdr:colOff>
      <xdr:row>6</xdr:row>
      <xdr:rowOff>118782</xdr:rowOff>
    </xdr:from>
    <xdr:ext cx="1689848" cy="302559"/>
    <xdr:sp macro="" textlink="">
      <xdr:nvSpPr>
        <xdr:cNvPr id="12" name="TextBox 11">
          <a:extLst>
            <a:ext uri="{FF2B5EF4-FFF2-40B4-BE49-F238E27FC236}">
              <a16:creationId xmlns:a16="http://schemas.microsoft.com/office/drawing/2014/main" id="{281AD423-6C6C-47A0-9E7D-555891D741FD}"/>
            </a:ext>
          </a:extLst>
        </xdr:cNvPr>
        <xdr:cNvSpPr txBox="1"/>
      </xdr:nvSpPr>
      <xdr:spPr>
        <a:xfrm>
          <a:off x="11010031" y="1261782"/>
          <a:ext cx="1689848" cy="30255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solidFill>
                <a:srgbClr val="602928"/>
              </a:solidFill>
              <a:latin typeface="Lato Black" panose="020F0A02020204030203" pitchFamily="34" charset="0"/>
              <a:ea typeface="+mn-ea"/>
              <a:cs typeface="+mn-cs"/>
            </a:rPr>
            <a:t>Attrition</a:t>
          </a:r>
          <a:r>
            <a:rPr lang="en-IN" sz="1800" baseline="0">
              <a:solidFill>
                <a:srgbClr val="602928"/>
              </a:solidFill>
              <a:latin typeface="Lato Black" panose="020F0A02020204030203" pitchFamily="34" charset="0"/>
              <a:ea typeface="+mn-ea"/>
              <a:cs typeface="+mn-cs"/>
            </a:rPr>
            <a:t> Rate</a:t>
          </a:r>
          <a:endParaRPr lang="en-IN" sz="1800">
            <a:solidFill>
              <a:srgbClr val="602928"/>
            </a:solidFill>
            <a:latin typeface="Lato Black" panose="020F0A02020204030203" pitchFamily="34" charset="0"/>
            <a:ea typeface="+mn-ea"/>
            <a:cs typeface="+mn-cs"/>
          </a:endParaRPr>
        </a:p>
      </xdr:txBody>
    </xdr:sp>
    <xdr:clientData/>
  </xdr:oneCellAnchor>
  <xdr:oneCellAnchor>
    <xdr:from>
      <xdr:col>16</xdr:col>
      <xdr:colOff>397808</xdr:colOff>
      <xdr:row>8</xdr:row>
      <xdr:rowOff>110439</xdr:rowOff>
    </xdr:from>
    <xdr:ext cx="1936377" cy="441511"/>
    <xdr:sp macro="" textlink="KPI!E8">
      <xdr:nvSpPr>
        <xdr:cNvPr id="15" name="TextBox 14">
          <a:extLst>
            <a:ext uri="{FF2B5EF4-FFF2-40B4-BE49-F238E27FC236}">
              <a16:creationId xmlns:a16="http://schemas.microsoft.com/office/drawing/2014/main" id="{405327C0-CFE9-4848-85AF-2753821A7704}"/>
            </a:ext>
          </a:extLst>
        </xdr:cNvPr>
        <xdr:cNvSpPr txBox="1"/>
      </xdr:nvSpPr>
      <xdr:spPr>
        <a:xfrm>
          <a:off x="10896475" y="1634439"/>
          <a:ext cx="1936377" cy="4415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76604C0-EF4D-4BDC-B009-ABB34DCDF466}" type="TxLink">
            <a:rPr lang="en-US" sz="2600" b="0" i="0" u="none" strike="noStrike">
              <a:solidFill>
                <a:srgbClr val="002060"/>
              </a:solidFill>
              <a:latin typeface="Lato Black" panose="020F0A02020204030203" pitchFamily="34" charset="0"/>
              <a:ea typeface="+mn-ea"/>
              <a:cs typeface="Calibri"/>
            </a:rPr>
            <a:pPr marL="0" indent="0" algn="ctr"/>
            <a:t>16.12%</a:t>
          </a:fld>
          <a:endParaRPr lang="en-IN" sz="2600" b="0" i="0" u="none" strike="noStrike">
            <a:solidFill>
              <a:srgbClr val="002060"/>
            </a:solidFill>
            <a:latin typeface="Lato Black" panose="020F0A02020204030203" pitchFamily="34" charset="0"/>
            <a:ea typeface="+mn-ea"/>
            <a:cs typeface="Calibri"/>
          </a:endParaRPr>
        </a:p>
      </xdr:txBody>
    </xdr:sp>
    <xdr:clientData/>
  </xdr:oneCellAnchor>
  <xdr:oneCellAnchor>
    <xdr:from>
      <xdr:col>21</xdr:col>
      <xdr:colOff>29881</xdr:colOff>
      <xdr:row>8</xdr:row>
      <xdr:rowOff>108201</xdr:rowOff>
    </xdr:from>
    <xdr:ext cx="1508312" cy="441511"/>
    <xdr:sp macro="" textlink="KPI!C8">
      <xdr:nvSpPr>
        <xdr:cNvPr id="23" name="TextBox 22">
          <a:extLst>
            <a:ext uri="{FF2B5EF4-FFF2-40B4-BE49-F238E27FC236}">
              <a16:creationId xmlns:a16="http://schemas.microsoft.com/office/drawing/2014/main" id="{0E076253-A61D-4C09-8829-35AC93163C5F}"/>
            </a:ext>
          </a:extLst>
        </xdr:cNvPr>
        <xdr:cNvSpPr txBox="1"/>
      </xdr:nvSpPr>
      <xdr:spPr>
        <a:xfrm>
          <a:off x="13809381" y="1632201"/>
          <a:ext cx="1508312" cy="4415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67C8426F-96D6-4593-8C5E-E9B00780A8C8}" type="TxLink">
            <a:rPr lang="en-US" sz="2600" b="0" i="0" u="none" strike="noStrike">
              <a:solidFill>
                <a:srgbClr val="002060"/>
              </a:solidFill>
              <a:latin typeface="Lato Black" panose="020F0A02020204030203" pitchFamily="34" charset="0"/>
              <a:ea typeface="+mn-ea"/>
              <a:cs typeface="Calibri"/>
            </a:rPr>
            <a:pPr marL="0" indent="0" algn="ctr"/>
            <a:t>37</a:t>
          </a:fld>
          <a:endParaRPr lang="en-IN" sz="2600" b="0" i="0" u="none" strike="noStrike">
            <a:solidFill>
              <a:srgbClr val="002060"/>
            </a:solidFill>
            <a:latin typeface="Lato Black" panose="020F0A02020204030203" pitchFamily="34" charset="0"/>
            <a:ea typeface="+mn-ea"/>
            <a:cs typeface="Calibri"/>
          </a:endParaRPr>
        </a:p>
      </xdr:txBody>
    </xdr:sp>
    <xdr:clientData/>
  </xdr:oneCellAnchor>
  <xdr:oneCellAnchor>
    <xdr:from>
      <xdr:col>21</xdr:col>
      <xdr:colOff>128494</xdr:colOff>
      <xdr:row>6</xdr:row>
      <xdr:rowOff>152198</xdr:rowOff>
    </xdr:from>
    <xdr:ext cx="1520659" cy="306620"/>
    <xdr:sp macro="" textlink="">
      <xdr:nvSpPr>
        <xdr:cNvPr id="66" name="TextBox 65">
          <a:extLst>
            <a:ext uri="{FF2B5EF4-FFF2-40B4-BE49-F238E27FC236}">
              <a16:creationId xmlns:a16="http://schemas.microsoft.com/office/drawing/2014/main" id="{60BD46A6-63C4-419E-B506-39769352124C}"/>
            </a:ext>
          </a:extLst>
        </xdr:cNvPr>
        <xdr:cNvSpPr txBox="1"/>
      </xdr:nvSpPr>
      <xdr:spPr>
        <a:xfrm>
          <a:off x="13907994" y="1295198"/>
          <a:ext cx="1520659" cy="3066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solidFill>
                <a:srgbClr val="602928"/>
              </a:solidFill>
              <a:latin typeface="Lato Black" panose="020F0A02020204030203" pitchFamily="34" charset="0"/>
              <a:ea typeface="+mn-ea"/>
              <a:cs typeface="+mn-cs"/>
            </a:rPr>
            <a:t>Average</a:t>
          </a:r>
          <a:r>
            <a:rPr lang="en-IN" sz="1800" baseline="0">
              <a:solidFill>
                <a:srgbClr val="602928"/>
              </a:solidFill>
              <a:latin typeface="Lato Black" panose="020F0A02020204030203" pitchFamily="34" charset="0"/>
              <a:ea typeface="+mn-ea"/>
              <a:cs typeface="+mn-cs"/>
            </a:rPr>
            <a:t> Age</a:t>
          </a:r>
          <a:endParaRPr lang="en-IN" sz="1800">
            <a:solidFill>
              <a:srgbClr val="602928"/>
            </a:solidFill>
            <a:latin typeface="Lato Black" panose="020F0A02020204030203" pitchFamily="34" charset="0"/>
            <a:ea typeface="+mn-ea"/>
            <a:cs typeface="+mn-cs"/>
          </a:endParaRPr>
        </a:p>
      </xdr:txBody>
    </xdr:sp>
    <xdr:clientData/>
  </xdr:oneCellAnchor>
  <xdr:oneCellAnchor>
    <xdr:from>
      <xdr:col>6</xdr:col>
      <xdr:colOff>140548</xdr:colOff>
      <xdr:row>6</xdr:row>
      <xdr:rowOff>159572</xdr:rowOff>
    </xdr:from>
    <xdr:ext cx="342090" cy="419548"/>
    <xdr:pic>
      <xdr:nvPicPr>
        <xdr:cNvPr id="68" name="image4.png">
          <a:extLst>
            <a:ext uri="{FF2B5EF4-FFF2-40B4-BE49-F238E27FC236}">
              <a16:creationId xmlns:a16="http://schemas.microsoft.com/office/drawing/2014/main" id="{BB6EEAD5-77CA-4694-873E-C9DD8FDAA7AA}"/>
            </a:ext>
          </a:extLst>
        </xdr:cNvPr>
        <xdr:cNvPicPr preferRelativeResize="0"/>
      </xdr:nvPicPr>
      <xdr:blipFill>
        <a:blip xmlns:r="http://schemas.openxmlformats.org/officeDocument/2006/relationships" r:embed="rId1" cstate="print"/>
        <a:stretch>
          <a:fillRect/>
        </a:stretch>
      </xdr:blipFill>
      <xdr:spPr>
        <a:xfrm>
          <a:off x="4102948" y="1317812"/>
          <a:ext cx="342090" cy="419548"/>
        </a:xfrm>
        <a:prstGeom prst="rect">
          <a:avLst/>
        </a:prstGeom>
        <a:noFill/>
      </xdr:spPr>
    </xdr:pic>
    <xdr:clientData fLocksWithSheet="0"/>
  </xdr:oneCellAnchor>
  <xdr:oneCellAnchor>
    <xdr:from>
      <xdr:col>15</xdr:col>
      <xdr:colOff>9412</xdr:colOff>
      <xdr:row>6</xdr:row>
      <xdr:rowOff>175857</xdr:rowOff>
    </xdr:from>
    <xdr:ext cx="508747" cy="433743"/>
    <xdr:pic>
      <xdr:nvPicPr>
        <xdr:cNvPr id="69" name="image5.png">
          <a:extLst>
            <a:ext uri="{FF2B5EF4-FFF2-40B4-BE49-F238E27FC236}">
              <a16:creationId xmlns:a16="http://schemas.microsoft.com/office/drawing/2014/main" id="{56A8A9FA-E2C3-4A5B-98E1-BBA640C9C5DA}"/>
            </a:ext>
          </a:extLst>
        </xdr:cNvPr>
        <xdr:cNvPicPr preferRelativeResize="0"/>
      </xdr:nvPicPr>
      <xdr:blipFill>
        <a:blip xmlns:r="http://schemas.openxmlformats.org/officeDocument/2006/relationships" r:embed="rId2" cstate="print"/>
        <a:stretch>
          <a:fillRect/>
        </a:stretch>
      </xdr:blipFill>
      <xdr:spPr>
        <a:xfrm>
          <a:off x="9915412" y="1334097"/>
          <a:ext cx="508747" cy="433743"/>
        </a:xfrm>
        <a:prstGeom prst="rect">
          <a:avLst/>
        </a:prstGeom>
        <a:noFill/>
      </xdr:spPr>
    </xdr:pic>
    <xdr:clientData fLocksWithSheet="0"/>
  </xdr:oneCellAnchor>
  <xdr:oneCellAnchor>
    <xdr:from>
      <xdr:col>19</xdr:col>
      <xdr:colOff>380254</xdr:colOff>
      <xdr:row>6</xdr:row>
      <xdr:rowOff>162560</xdr:rowOff>
    </xdr:from>
    <xdr:ext cx="470646" cy="508000"/>
    <xdr:pic>
      <xdr:nvPicPr>
        <xdr:cNvPr id="70" name="image2.png">
          <a:extLst>
            <a:ext uri="{FF2B5EF4-FFF2-40B4-BE49-F238E27FC236}">
              <a16:creationId xmlns:a16="http://schemas.microsoft.com/office/drawing/2014/main" id="{BFDE8BA7-EE1A-4417-B5D7-327C44C1E967}"/>
            </a:ext>
          </a:extLst>
        </xdr:cNvPr>
        <xdr:cNvPicPr preferRelativeResize="0"/>
      </xdr:nvPicPr>
      <xdr:blipFill>
        <a:blip xmlns:r="http://schemas.openxmlformats.org/officeDocument/2006/relationships" r:embed="rId3" cstate="print"/>
        <a:stretch>
          <a:fillRect/>
        </a:stretch>
      </xdr:blipFill>
      <xdr:spPr>
        <a:xfrm>
          <a:off x="12927854" y="1320800"/>
          <a:ext cx="470646" cy="508000"/>
        </a:xfrm>
        <a:prstGeom prst="rect">
          <a:avLst/>
        </a:prstGeom>
        <a:noFill/>
      </xdr:spPr>
    </xdr:pic>
    <xdr:clientData fLocksWithSheet="0"/>
  </xdr:oneCellAnchor>
  <xdr:oneCellAnchor>
    <xdr:from>
      <xdr:col>23</xdr:col>
      <xdr:colOff>632038</xdr:colOff>
      <xdr:row>6</xdr:row>
      <xdr:rowOff>185170</xdr:rowOff>
    </xdr:from>
    <xdr:ext cx="441574" cy="414269"/>
    <xdr:pic>
      <xdr:nvPicPr>
        <xdr:cNvPr id="71" name="image6.png">
          <a:extLst>
            <a:ext uri="{FF2B5EF4-FFF2-40B4-BE49-F238E27FC236}">
              <a16:creationId xmlns:a16="http://schemas.microsoft.com/office/drawing/2014/main" id="{152CF973-4E32-48E7-B872-CED57B9DCC55}"/>
            </a:ext>
          </a:extLst>
        </xdr:cNvPr>
        <xdr:cNvPicPr preferRelativeResize="0"/>
      </xdr:nvPicPr>
      <xdr:blipFill>
        <a:blip xmlns:r="http://schemas.openxmlformats.org/officeDocument/2006/relationships" r:embed="rId4" cstate="print"/>
        <a:stretch>
          <a:fillRect/>
        </a:stretch>
      </xdr:blipFill>
      <xdr:spPr>
        <a:xfrm>
          <a:off x="15821238" y="1343410"/>
          <a:ext cx="441574" cy="414269"/>
        </a:xfrm>
        <a:prstGeom prst="rect">
          <a:avLst/>
        </a:prstGeom>
        <a:noFill/>
      </xdr:spPr>
    </xdr:pic>
    <xdr:clientData fLocksWithSheet="0"/>
  </xdr:oneCellAnchor>
  <xdr:oneCellAnchor>
    <xdr:from>
      <xdr:col>10</xdr:col>
      <xdr:colOff>203200</xdr:colOff>
      <xdr:row>6</xdr:row>
      <xdr:rowOff>156882</xdr:rowOff>
    </xdr:from>
    <xdr:ext cx="667173" cy="554318"/>
    <xdr:pic>
      <xdr:nvPicPr>
        <xdr:cNvPr id="72" name="image7.png">
          <a:extLst>
            <a:ext uri="{FF2B5EF4-FFF2-40B4-BE49-F238E27FC236}">
              <a16:creationId xmlns:a16="http://schemas.microsoft.com/office/drawing/2014/main" id="{3749D8BB-12CF-4080-87E8-2A16671840A7}"/>
            </a:ext>
          </a:extLst>
        </xdr:cNvPr>
        <xdr:cNvPicPr preferRelativeResize="0"/>
      </xdr:nvPicPr>
      <xdr:blipFill>
        <a:blip xmlns:r="http://schemas.openxmlformats.org/officeDocument/2006/relationships" r:embed="rId5" cstate="print"/>
        <a:stretch>
          <a:fillRect/>
        </a:stretch>
      </xdr:blipFill>
      <xdr:spPr>
        <a:xfrm>
          <a:off x="6807200" y="1315122"/>
          <a:ext cx="667173" cy="554318"/>
        </a:xfrm>
        <a:prstGeom prst="rect">
          <a:avLst/>
        </a:prstGeom>
        <a:noFill/>
      </xdr:spPr>
    </xdr:pic>
    <xdr:clientData fLocksWithSheet="0"/>
  </xdr:oneCellAnchor>
  <xdr:twoCellAnchor editAs="oneCell">
    <xdr:from>
      <xdr:col>2</xdr:col>
      <xdr:colOff>554692</xdr:colOff>
      <xdr:row>2</xdr:row>
      <xdr:rowOff>49579</xdr:rowOff>
    </xdr:from>
    <xdr:to>
      <xdr:col>3</xdr:col>
      <xdr:colOff>571276</xdr:colOff>
      <xdr:row>6</xdr:row>
      <xdr:rowOff>2215</xdr:rowOff>
    </xdr:to>
    <xdr:pic>
      <xdr:nvPicPr>
        <xdr:cNvPr id="7" name="Picture 6">
          <a:extLst>
            <a:ext uri="{FF2B5EF4-FFF2-40B4-BE49-F238E27FC236}">
              <a16:creationId xmlns:a16="http://schemas.microsoft.com/office/drawing/2014/main" id="{18EDC67E-CEDC-455E-B003-50712A35F1D7}"/>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75492" y="435659"/>
          <a:ext cx="676984" cy="724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70970</xdr:colOff>
      <xdr:row>2</xdr:row>
      <xdr:rowOff>28014</xdr:rowOff>
    </xdr:from>
    <xdr:to>
      <xdr:col>15</xdr:col>
      <xdr:colOff>183030</xdr:colOff>
      <xdr:row>5</xdr:row>
      <xdr:rowOff>84044</xdr:rowOff>
    </xdr:to>
    <xdr:sp macro="" textlink="">
      <xdr:nvSpPr>
        <xdr:cNvPr id="9" name="TextBox 8">
          <a:extLst>
            <a:ext uri="{FF2B5EF4-FFF2-40B4-BE49-F238E27FC236}">
              <a16:creationId xmlns:a16="http://schemas.microsoft.com/office/drawing/2014/main" id="{62AD567B-9755-4045-9250-012CB8FC62FD}"/>
            </a:ext>
          </a:extLst>
        </xdr:cNvPr>
        <xdr:cNvSpPr txBox="1"/>
      </xdr:nvSpPr>
      <xdr:spPr>
        <a:xfrm>
          <a:off x="2695637" y="409014"/>
          <a:ext cx="7329893" cy="62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solidFill>
                <a:schemeClr val="accent5">
                  <a:lumMod val="75000"/>
                </a:schemeClr>
              </a:solidFill>
              <a:latin typeface="Lato Black" panose="020F0A02020204030203" pitchFamily="34" charset="0"/>
            </a:rPr>
            <a:t>HR ANALYTICS DASHBOARD</a:t>
          </a:r>
        </a:p>
      </xdr:txBody>
    </xdr:sp>
    <xdr:clientData/>
  </xdr:twoCellAnchor>
  <xdr:oneCellAnchor>
    <xdr:from>
      <xdr:col>16</xdr:col>
      <xdr:colOff>123264</xdr:colOff>
      <xdr:row>2</xdr:row>
      <xdr:rowOff>49804</xdr:rowOff>
    </xdr:from>
    <xdr:ext cx="806823" cy="628650"/>
    <xdr:pic>
      <xdr:nvPicPr>
        <xdr:cNvPr id="13" name="image3.png">
          <a:extLst>
            <a:ext uri="{FF2B5EF4-FFF2-40B4-BE49-F238E27FC236}">
              <a16:creationId xmlns:a16="http://schemas.microsoft.com/office/drawing/2014/main" id="{2C87BFC1-D36A-4D86-B1D2-F0A51ABF6F6F}"/>
            </a:ext>
          </a:extLst>
        </xdr:cNvPr>
        <xdr:cNvPicPr preferRelativeResize="0"/>
      </xdr:nvPicPr>
      <xdr:blipFill>
        <a:blip xmlns:r="http://schemas.openxmlformats.org/officeDocument/2006/relationships" r:embed="rId7" cstate="print"/>
        <a:stretch>
          <a:fillRect/>
        </a:stretch>
      </xdr:blipFill>
      <xdr:spPr>
        <a:xfrm>
          <a:off x="10621931" y="430804"/>
          <a:ext cx="806823" cy="628650"/>
        </a:xfrm>
        <a:prstGeom prst="rect">
          <a:avLst/>
        </a:prstGeom>
        <a:noFill/>
      </xdr:spPr>
    </xdr:pic>
    <xdr:clientData fLocksWithSheet="0"/>
  </xdr:oneCellAnchor>
  <xdr:twoCellAnchor>
    <xdr:from>
      <xdr:col>19</xdr:col>
      <xdr:colOff>420221</xdr:colOff>
      <xdr:row>2</xdr:row>
      <xdr:rowOff>61632</xdr:rowOff>
    </xdr:from>
    <xdr:to>
      <xdr:col>24</xdr:col>
      <xdr:colOff>268941</xdr:colOff>
      <xdr:row>5</xdr:row>
      <xdr:rowOff>184896</xdr:rowOff>
    </xdr:to>
    <xdr:graphicFrame macro="">
      <xdr:nvGraphicFramePr>
        <xdr:cNvPr id="16" name="Chart 15">
          <a:extLst>
            <a:ext uri="{FF2B5EF4-FFF2-40B4-BE49-F238E27FC236}">
              <a16:creationId xmlns:a16="http://schemas.microsoft.com/office/drawing/2014/main" id="{C7DFFB55-97CA-428D-86EE-8F4D74899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607906</xdr:colOff>
      <xdr:row>1</xdr:row>
      <xdr:rowOff>150656</xdr:rowOff>
    </xdr:from>
    <xdr:to>
      <xdr:col>21</xdr:col>
      <xdr:colOff>585494</xdr:colOff>
      <xdr:row>6</xdr:row>
      <xdr:rowOff>49801</xdr:rowOff>
    </xdr:to>
    <xdr:graphicFrame macro="">
      <xdr:nvGraphicFramePr>
        <xdr:cNvPr id="19" name="Chart 18">
          <a:extLst>
            <a:ext uri="{FF2B5EF4-FFF2-40B4-BE49-F238E27FC236}">
              <a16:creationId xmlns:a16="http://schemas.microsoft.com/office/drawing/2014/main" id="{BA741C98-FF75-4DFC-8435-963E7949D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577102</xdr:colOff>
      <xdr:row>12</xdr:row>
      <xdr:rowOff>28015</xdr:rowOff>
    </xdr:from>
    <xdr:to>
      <xdr:col>8</xdr:col>
      <xdr:colOff>95249</xdr:colOff>
      <xdr:row>13</xdr:row>
      <xdr:rowOff>151280</xdr:rowOff>
    </xdr:to>
    <xdr:sp macro="" textlink="">
      <xdr:nvSpPr>
        <xdr:cNvPr id="25" name="TextBox 24">
          <a:extLst>
            <a:ext uri="{FF2B5EF4-FFF2-40B4-BE49-F238E27FC236}">
              <a16:creationId xmlns:a16="http://schemas.microsoft.com/office/drawing/2014/main" id="{88C7164B-7E83-41F5-9C92-33C9C058A23D}"/>
            </a:ext>
          </a:extLst>
        </xdr:cNvPr>
        <xdr:cNvSpPr txBox="1"/>
      </xdr:nvSpPr>
      <xdr:spPr>
        <a:xfrm>
          <a:off x="1876984" y="2314015"/>
          <a:ext cx="3417794"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Total</a:t>
          </a:r>
          <a:r>
            <a:rPr lang="en-IN" sz="1300" baseline="0">
              <a:solidFill>
                <a:srgbClr val="602928"/>
              </a:solidFill>
              <a:latin typeface="Lato Black" panose="020F0A02020204030203" pitchFamily="34" charset="0"/>
            </a:rPr>
            <a:t> Employees by Gender</a:t>
          </a:r>
          <a:endParaRPr lang="en-IN" sz="1300">
            <a:solidFill>
              <a:srgbClr val="602928"/>
            </a:solidFill>
            <a:latin typeface="Lato Black" panose="020F0A02020204030203" pitchFamily="34" charset="0"/>
          </a:endParaRPr>
        </a:p>
      </xdr:txBody>
    </xdr:sp>
    <xdr:clientData/>
  </xdr:twoCellAnchor>
  <xdr:twoCellAnchor>
    <xdr:from>
      <xdr:col>9</xdr:col>
      <xdr:colOff>394307</xdr:colOff>
      <xdr:row>12</xdr:row>
      <xdr:rowOff>60232</xdr:rowOff>
    </xdr:from>
    <xdr:to>
      <xdr:col>14</xdr:col>
      <xdr:colOff>537882</xdr:colOff>
      <xdr:row>13</xdr:row>
      <xdr:rowOff>183497</xdr:rowOff>
    </xdr:to>
    <xdr:sp macro="" textlink="">
      <xdr:nvSpPr>
        <xdr:cNvPr id="26" name="TextBox 25">
          <a:extLst>
            <a:ext uri="{FF2B5EF4-FFF2-40B4-BE49-F238E27FC236}">
              <a16:creationId xmlns:a16="http://schemas.microsoft.com/office/drawing/2014/main" id="{23CFFC51-D99A-4F23-87C2-13F39E8A4E6E}"/>
            </a:ext>
          </a:extLst>
        </xdr:cNvPr>
        <xdr:cNvSpPr txBox="1"/>
      </xdr:nvSpPr>
      <xdr:spPr>
        <a:xfrm>
          <a:off x="6287901" y="2346232"/>
          <a:ext cx="3417794"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 Education</a:t>
          </a:r>
          <a:r>
            <a:rPr lang="en-IN" sz="1300" baseline="0">
              <a:solidFill>
                <a:srgbClr val="602928"/>
              </a:solidFill>
              <a:latin typeface="Lato Black" panose="020F0A02020204030203" pitchFamily="34" charset="0"/>
            </a:rPr>
            <a:t> wise Attrition</a:t>
          </a:r>
          <a:endParaRPr lang="en-IN" sz="1300">
            <a:solidFill>
              <a:srgbClr val="602928"/>
            </a:solidFill>
            <a:latin typeface="Lato Black" panose="020F0A02020204030203" pitchFamily="34" charset="0"/>
          </a:endParaRPr>
        </a:p>
      </xdr:txBody>
    </xdr:sp>
    <xdr:clientData/>
  </xdr:twoCellAnchor>
  <xdr:twoCellAnchor>
    <xdr:from>
      <xdr:col>17</xdr:col>
      <xdr:colOff>559594</xdr:colOff>
      <xdr:row>12</xdr:row>
      <xdr:rowOff>71437</xdr:rowOff>
    </xdr:from>
    <xdr:to>
      <xdr:col>23</xdr:col>
      <xdr:colOff>48326</xdr:colOff>
      <xdr:row>14</xdr:row>
      <xdr:rowOff>4202</xdr:rowOff>
    </xdr:to>
    <xdr:sp macro="" textlink="">
      <xdr:nvSpPr>
        <xdr:cNvPr id="27" name="TextBox 26">
          <a:extLst>
            <a:ext uri="{FF2B5EF4-FFF2-40B4-BE49-F238E27FC236}">
              <a16:creationId xmlns:a16="http://schemas.microsoft.com/office/drawing/2014/main" id="{289DCEDF-F1E0-45AB-A556-AB7F3874D15A}"/>
            </a:ext>
          </a:extLst>
        </xdr:cNvPr>
        <xdr:cNvSpPr txBox="1"/>
      </xdr:nvSpPr>
      <xdr:spPr>
        <a:xfrm>
          <a:off x="11691938" y="2357437"/>
          <a:ext cx="3417794"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   Attrition</a:t>
          </a:r>
          <a:r>
            <a:rPr lang="en-IN" sz="1300" baseline="0">
              <a:solidFill>
                <a:srgbClr val="602928"/>
              </a:solidFill>
              <a:latin typeface="Lato Black" panose="020F0A02020204030203" pitchFamily="34" charset="0"/>
            </a:rPr>
            <a:t> by Job Role</a:t>
          </a:r>
          <a:endParaRPr lang="en-IN" sz="1300">
            <a:solidFill>
              <a:srgbClr val="602928"/>
            </a:solidFill>
            <a:latin typeface="Lato Black" panose="020F0A02020204030203" pitchFamily="34" charset="0"/>
          </a:endParaRPr>
        </a:p>
      </xdr:txBody>
    </xdr:sp>
    <xdr:clientData/>
  </xdr:twoCellAnchor>
  <xdr:twoCellAnchor>
    <xdr:from>
      <xdr:col>2</xdr:col>
      <xdr:colOff>547265</xdr:colOff>
      <xdr:row>26</xdr:row>
      <xdr:rowOff>70909</xdr:rowOff>
    </xdr:from>
    <xdr:to>
      <xdr:col>8</xdr:col>
      <xdr:colOff>35997</xdr:colOff>
      <xdr:row>28</xdr:row>
      <xdr:rowOff>3674</xdr:rowOff>
    </xdr:to>
    <xdr:sp macro="" textlink="">
      <xdr:nvSpPr>
        <xdr:cNvPr id="28" name="TextBox 27">
          <a:extLst>
            <a:ext uri="{FF2B5EF4-FFF2-40B4-BE49-F238E27FC236}">
              <a16:creationId xmlns:a16="http://schemas.microsoft.com/office/drawing/2014/main" id="{30CADCAF-92E7-4003-BA02-531932D71D9D}"/>
            </a:ext>
          </a:extLst>
        </xdr:cNvPr>
        <xdr:cNvSpPr txBox="1"/>
      </xdr:nvSpPr>
      <xdr:spPr>
        <a:xfrm>
          <a:off x="1868065" y="5089949"/>
          <a:ext cx="3451132" cy="318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Department</a:t>
          </a:r>
          <a:r>
            <a:rPr lang="en-IN" sz="1300" baseline="0">
              <a:solidFill>
                <a:srgbClr val="602928"/>
              </a:solidFill>
              <a:latin typeface="Lato Black" panose="020F0A02020204030203" pitchFamily="34" charset="0"/>
            </a:rPr>
            <a:t> wise Attrition</a:t>
          </a:r>
          <a:endParaRPr lang="en-IN" sz="1300">
            <a:solidFill>
              <a:srgbClr val="602928"/>
            </a:solidFill>
            <a:latin typeface="Lato Black" panose="020F0A02020204030203" pitchFamily="34" charset="0"/>
          </a:endParaRPr>
        </a:p>
      </xdr:txBody>
    </xdr:sp>
    <xdr:clientData/>
  </xdr:twoCellAnchor>
  <xdr:twoCellAnchor>
    <xdr:from>
      <xdr:col>9</xdr:col>
      <xdr:colOff>419311</xdr:colOff>
      <xdr:row>26</xdr:row>
      <xdr:rowOff>70485</xdr:rowOff>
    </xdr:from>
    <xdr:to>
      <xdr:col>14</xdr:col>
      <xdr:colOff>562886</xdr:colOff>
      <xdr:row>28</xdr:row>
      <xdr:rowOff>3250</xdr:rowOff>
    </xdr:to>
    <xdr:sp macro="" textlink="">
      <xdr:nvSpPr>
        <xdr:cNvPr id="54" name="TextBox 53">
          <a:extLst>
            <a:ext uri="{FF2B5EF4-FFF2-40B4-BE49-F238E27FC236}">
              <a16:creationId xmlns:a16="http://schemas.microsoft.com/office/drawing/2014/main" id="{16522CD2-13A3-4C4F-B8E6-4705F0655FC2}"/>
            </a:ext>
          </a:extLst>
        </xdr:cNvPr>
        <xdr:cNvSpPr txBox="1"/>
      </xdr:nvSpPr>
      <xdr:spPr>
        <a:xfrm>
          <a:off x="6362911" y="5089525"/>
          <a:ext cx="3445575" cy="318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Attrition</a:t>
          </a:r>
          <a:r>
            <a:rPr lang="en-IN" sz="1300" baseline="0">
              <a:solidFill>
                <a:srgbClr val="602928"/>
              </a:solidFill>
              <a:latin typeface="Lato Black" panose="020F0A02020204030203" pitchFamily="34" charset="0"/>
            </a:rPr>
            <a:t> by Age Group</a:t>
          </a:r>
          <a:endParaRPr lang="en-IN" sz="1300">
            <a:solidFill>
              <a:srgbClr val="602928"/>
            </a:solidFill>
            <a:latin typeface="Lato Black" panose="020F0A02020204030203" pitchFamily="34" charset="0"/>
          </a:endParaRPr>
        </a:p>
      </xdr:txBody>
    </xdr:sp>
    <xdr:clientData/>
  </xdr:twoCellAnchor>
  <xdr:twoCellAnchor>
    <xdr:from>
      <xdr:col>15</xdr:col>
      <xdr:colOff>467837</xdr:colOff>
      <xdr:row>26</xdr:row>
      <xdr:rowOff>74400</xdr:rowOff>
    </xdr:from>
    <xdr:to>
      <xdr:col>19</xdr:col>
      <xdr:colOff>526668</xdr:colOff>
      <xdr:row>27</xdr:row>
      <xdr:rowOff>177793</xdr:rowOff>
    </xdr:to>
    <xdr:sp macro="" textlink="">
      <xdr:nvSpPr>
        <xdr:cNvPr id="55" name="TextBox 54">
          <a:extLst>
            <a:ext uri="{FF2B5EF4-FFF2-40B4-BE49-F238E27FC236}">
              <a16:creationId xmlns:a16="http://schemas.microsoft.com/office/drawing/2014/main" id="{188EFD4E-4260-472D-9272-BC94281039F2}"/>
            </a:ext>
          </a:extLst>
        </xdr:cNvPr>
        <xdr:cNvSpPr txBox="1"/>
      </xdr:nvSpPr>
      <xdr:spPr>
        <a:xfrm>
          <a:off x="10373837" y="5093440"/>
          <a:ext cx="2700431" cy="296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   Attrition</a:t>
          </a:r>
          <a:r>
            <a:rPr lang="en-IN" sz="1300" baseline="0">
              <a:solidFill>
                <a:srgbClr val="602928"/>
              </a:solidFill>
              <a:latin typeface="Lato Black" panose="020F0A02020204030203" pitchFamily="34" charset="0"/>
            </a:rPr>
            <a:t> by Marital Status</a:t>
          </a:r>
          <a:endParaRPr lang="en-IN" sz="1300">
            <a:solidFill>
              <a:srgbClr val="602928"/>
            </a:solidFill>
            <a:latin typeface="Lato Black" panose="020F0A02020204030203" pitchFamily="34" charset="0"/>
          </a:endParaRPr>
        </a:p>
      </xdr:txBody>
    </xdr:sp>
    <xdr:clientData/>
  </xdr:twoCellAnchor>
  <xdr:twoCellAnchor>
    <xdr:from>
      <xdr:col>20</xdr:col>
      <xdr:colOff>386134</xdr:colOff>
      <xdr:row>26</xdr:row>
      <xdr:rowOff>63818</xdr:rowOff>
    </xdr:from>
    <xdr:to>
      <xdr:col>24</xdr:col>
      <xdr:colOff>456170</xdr:colOff>
      <xdr:row>28</xdr:row>
      <xdr:rowOff>7789</xdr:rowOff>
    </xdr:to>
    <xdr:sp macro="" textlink="">
      <xdr:nvSpPr>
        <xdr:cNvPr id="56" name="TextBox 55">
          <a:extLst>
            <a:ext uri="{FF2B5EF4-FFF2-40B4-BE49-F238E27FC236}">
              <a16:creationId xmlns:a16="http://schemas.microsoft.com/office/drawing/2014/main" id="{A88D01AE-0092-4004-A50A-34981886662E}"/>
            </a:ext>
          </a:extLst>
        </xdr:cNvPr>
        <xdr:cNvSpPr txBox="1"/>
      </xdr:nvSpPr>
      <xdr:spPr>
        <a:xfrm>
          <a:off x="13594134" y="5082858"/>
          <a:ext cx="2711636" cy="33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  Filter</a:t>
          </a:r>
          <a:r>
            <a:rPr lang="en-IN" sz="1300" baseline="0">
              <a:solidFill>
                <a:srgbClr val="602928"/>
              </a:solidFill>
              <a:latin typeface="Lato Black" panose="020F0A02020204030203" pitchFamily="34" charset="0"/>
            </a:rPr>
            <a:t> Panel</a:t>
          </a:r>
          <a:endParaRPr lang="en-IN" sz="1300">
            <a:solidFill>
              <a:srgbClr val="602928"/>
            </a:solidFill>
            <a:latin typeface="Lato Black" panose="020F0A02020204030203" pitchFamily="34" charset="0"/>
          </a:endParaRPr>
        </a:p>
      </xdr:txBody>
    </xdr:sp>
    <xdr:clientData/>
  </xdr:twoCellAnchor>
  <xdr:twoCellAnchor>
    <xdr:from>
      <xdr:col>5</xdr:col>
      <xdr:colOff>591157</xdr:colOff>
      <xdr:row>18</xdr:row>
      <xdr:rowOff>164602</xdr:rowOff>
    </xdr:from>
    <xdr:to>
      <xdr:col>6</xdr:col>
      <xdr:colOff>569978</xdr:colOff>
      <xdr:row>23</xdr:row>
      <xdr:rowOff>5399</xdr:rowOff>
    </xdr:to>
    <xdr:pic>
      <xdr:nvPicPr>
        <xdr:cNvPr id="61" name="Graphic 60" descr="Male profile with solid fill">
          <a:extLst>
            <a:ext uri="{FF2B5EF4-FFF2-40B4-BE49-F238E27FC236}">
              <a16:creationId xmlns:a16="http://schemas.microsoft.com/office/drawing/2014/main" id="{8A705B80-4307-30F4-BAF4-971776D4C22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93157" y="3639322"/>
          <a:ext cx="639221" cy="805997"/>
        </a:xfrm>
        <a:prstGeom prst="rect">
          <a:avLst/>
        </a:prstGeom>
      </xdr:spPr>
    </xdr:pic>
    <xdr:clientData/>
  </xdr:twoCellAnchor>
  <xdr:twoCellAnchor>
    <xdr:from>
      <xdr:col>4</xdr:col>
      <xdr:colOff>521949</xdr:colOff>
      <xdr:row>18</xdr:row>
      <xdr:rowOff>175954</xdr:rowOff>
    </xdr:from>
    <xdr:to>
      <xdr:col>5</xdr:col>
      <xdr:colOff>500770</xdr:colOff>
      <xdr:row>22</xdr:row>
      <xdr:rowOff>187087</xdr:rowOff>
    </xdr:to>
    <xdr:pic>
      <xdr:nvPicPr>
        <xdr:cNvPr id="62" name="Graphic 61" descr="Female Profile with solid fill">
          <a:extLst>
            <a:ext uri="{FF2B5EF4-FFF2-40B4-BE49-F238E27FC236}">
              <a16:creationId xmlns:a16="http://schemas.microsoft.com/office/drawing/2014/main" id="{F82DB0AC-105B-E60B-588E-9178837E24A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163549" y="3650674"/>
          <a:ext cx="639221" cy="783293"/>
        </a:xfrm>
        <a:prstGeom prst="rect">
          <a:avLst/>
        </a:prstGeom>
      </xdr:spPr>
    </xdr:pic>
    <xdr:clientData/>
  </xdr:twoCellAnchor>
  <xdr:twoCellAnchor>
    <xdr:from>
      <xdr:col>17</xdr:col>
      <xdr:colOff>357188</xdr:colOff>
      <xdr:row>14</xdr:row>
      <xdr:rowOff>11906</xdr:rowOff>
    </xdr:from>
    <xdr:to>
      <xdr:col>25</xdr:col>
      <xdr:colOff>0</xdr:colOff>
      <xdr:row>25</xdr:row>
      <xdr:rowOff>179994</xdr:rowOff>
    </xdr:to>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C7AAF059-F119-4C18-BE00-F9A0340D35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497628" y="2678906"/>
              <a:ext cx="4885372" cy="22635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568961</xdr:colOff>
      <xdr:row>13</xdr:row>
      <xdr:rowOff>118533</xdr:rowOff>
    </xdr:from>
    <xdr:to>
      <xdr:col>24</xdr:col>
      <xdr:colOff>396241</xdr:colOff>
      <xdr:row>25</xdr:row>
      <xdr:rowOff>0</xdr:rowOff>
    </xdr:to>
    <mc:AlternateContent xmlns:mc="http://schemas.openxmlformats.org/markup-compatibility/2006">
      <mc:Choice xmlns:cx1="http://schemas.microsoft.com/office/drawing/2015/9/8/chartex" Requires="cx1">
        <xdr:graphicFrame macro="">
          <xdr:nvGraphicFramePr>
            <xdr:cNvPr id="79" name="Chart 78">
              <a:extLst>
                <a:ext uri="{FF2B5EF4-FFF2-40B4-BE49-F238E27FC236}">
                  <a16:creationId xmlns:a16="http://schemas.microsoft.com/office/drawing/2014/main" id="{6084A428-B63D-47CA-AB7A-5EC05A3183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1709401" y="2595033"/>
              <a:ext cx="4414520" cy="21674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529166</xdr:colOff>
      <xdr:row>28</xdr:row>
      <xdr:rowOff>95250</xdr:rowOff>
    </xdr:from>
    <xdr:to>
      <xdr:col>8</xdr:col>
      <xdr:colOff>423333</xdr:colOff>
      <xdr:row>39</xdr:row>
      <xdr:rowOff>179917</xdr:rowOff>
    </xdr:to>
    <xdr:graphicFrame macro="">
      <xdr:nvGraphicFramePr>
        <xdr:cNvPr id="81" name="Chart 80">
          <a:extLst>
            <a:ext uri="{FF2B5EF4-FFF2-40B4-BE49-F238E27FC236}">
              <a16:creationId xmlns:a16="http://schemas.microsoft.com/office/drawing/2014/main" id="{A47324F8-958B-4DCE-9B06-E2868180C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4</xdr:col>
      <xdr:colOff>306916</xdr:colOff>
      <xdr:row>15</xdr:row>
      <xdr:rowOff>73237</xdr:rowOff>
    </xdr:from>
    <xdr:to>
      <xdr:col>7</xdr:col>
      <xdr:colOff>111760</xdr:colOff>
      <xdr:row>19</xdr:row>
      <xdr:rowOff>91440</xdr:rowOff>
    </xdr:to>
    <mc:AlternateContent xmlns:mc="http://schemas.openxmlformats.org/markup-compatibility/2006" xmlns:a14="http://schemas.microsoft.com/office/drawing/2010/main">
      <mc:Choice Requires="a14">
        <xdr:graphicFrame macro="">
          <xdr:nvGraphicFramePr>
            <xdr:cNvPr id="85" name="Gender 3">
              <a:extLst>
                <a:ext uri="{FF2B5EF4-FFF2-40B4-BE49-F238E27FC236}">
                  <a16:creationId xmlns:a16="http://schemas.microsoft.com/office/drawing/2014/main" id="{9C81FC12-6D07-4D41-9246-56035CB0D2B0}"/>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948516" y="2968837"/>
              <a:ext cx="1786044" cy="790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382693</xdr:colOff>
      <xdr:row>29</xdr:row>
      <xdr:rowOff>142664</xdr:rowOff>
    </xdr:from>
    <xdr:to>
      <xdr:col>23</xdr:col>
      <xdr:colOff>0</xdr:colOff>
      <xdr:row>39</xdr:row>
      <xdr:rowOff>60960</xdr:rowOff>
    </xdr:to>
    <mc:AlternateContent xmlns:mc="http://schemas.openxmlformats.org/markup-compatibility/2006" xmlns:a14="http://schemas.microsoft.com/office/drawing/2010/main">
      <mc:Choice Requires="a14">
        <xdr:graphicFrame macro="">
          <xdr:nvGraphicFramePr>
            <xdr:cNvPr id="86" name="Education Field 3">
              <a:extLst>
                <a:ext uri="{FF2B5EF4-FFF2-40B4-BE49-F238E27FC236}">
                  <a16:creationId xmlns:a16="http://schemas.microsoft.com/office/drawing/2014/main" id="{79B55508-4064-48C4-AA15-D1CA0E5E00E7}"/>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590693" y="5740824"/>
              <a:ext cx="1598507" cy="1848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174415</xdr:colOff>
      <xdr:row>31</xdr:row>
      <xdr:rowOff>152400</xdr:rowOff>
    </xdr:from>
    <xdr:to>
      <xdr:col>24</xdr:col>
      <xdr:colOff>528321</xdr:colOff>
      <xdr:row>38</xdr:row>
      <xdr:rowOff>71120</xdr:rowOff>
    </xdr:to>
    <mc:AlternateContent xmlns:mc="http://schemas.openxmlformats.org/markup-compatibility/2006" xmlns:a14="http://schemas.microsoft.com/office/drawing/2010/main">
      <mc:Choice Requires="a14">
        <xdr:graphicFrame macro="">
          <xdr:nvGraphicFramePr>
            <xdr:cNvPr id="87" name="Department 1">
              <a:extLst>
                <a:ext uri="{FF2B5EF4-FFF2-40B4-BE49-F238E27FC236}">
                  <a16:creationId xmlns:a16="http://schemas.microsoft.com/office/drawing/2014/main" id="{4D48DDA1-65BF-4A7F-9CB7-16C1C143A35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363615" y="6136640"/>
              <a:ext cx="1014306"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366607</xdr:colOff>
      <xdr:row>28</xdr:row>
      <xdr:rowOff>13545</xdr:rowOff>
    </xdr:from>
    <xdr:to>
      <xdr:col>22</xdr:col>
      <xdr:colOff>529591</xdr:colOff>
      <xdr:row>29</xdr:row>
      <xdr:rowOff>132502</xdr:rowOff>
    </xdr:to>
    <xdr:sp macro="" textlink="">
      <xdr:nvSpPr>
        <xdr:cNvPr id="88" name="TextBox 87">
          <a:extLst>
            <a:ext uri="{FF2B5EF4-FFF2-40B4-BE49-F238E27FC236}">
              <a16:creationId xmlns:a16="http://schemas.microsoft.com/office/drawing/2014/main" id="{A5C7AD83-CC85-F578-7069-7F904A1E7FAC}"/>
            </a:ext>
          </a:extLst>
        </xdr:cNvPr>
        <xdr:cNvSpPr txBox="1"/>
      </xdr:nvSpPr>
      <xdr:spPr>
        <a:xfrm>
          <a:off x="13574607" y="5418665"/>
          <a:ext cx="1483784" cy="311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5"/>
              </a:solidFill>
              <a:latin typeface="Segoe UI" panose="020B0502040204020203" pitchFamily="34" charset="0"/>
              <a:cs typeface="Segoe UI" panose="020B0502040204020203" pitchFamily="34" charset="0"/>
            </a:rPr>
            <a:t>Eduation Field</a:t>
          </a:r>
        </a:p>
      </xdr:txBody>
    </xdr:sp>
    <xdr:clientData/>
  </xdr:twoCellAnchor>
  <xdr:twoCellAnchor>
    <xdr:from>
      <xdr:col>23</xdr:col>
      <xdr:colOff>77894</xdr:colOff>
      <xdr:row>30</xdr:row>
      <xdr:rowOff>21168</xdr:rowOff>
    </xdr:from>
    <xdr:to>
      <xdr:col>25</xdr:col>
      <xdr:colOff>14393</xdr:colOff>
      <xdr:row>31</xdr:row>
      <xdr:rowOff>84668</xdr:rowOff>
    </xdr:to>
    <xdr:sp macro="" textlink="">
      <xdr:nvSpPr>
        <xdr:cNvPr id="89" name="TextBox 88">
          <a:extLst>
            <a:ext uri="{FF2B5EF4-FFF2-40B4-BE49-F238E27FC236}">
              <a16:creationId xmlns:a16="http://schemas.microsoft.com/office/drawing/2014/main" id="{B2AB5491-5A4D-42A5-B512-60AF1B0E3BFD}"/>
            </a:ext>
          </a:extLst>
        </xdr:cNvPr>
        <xdr:cNvSpPr txBox="1"/>
      </xdr:nvSpPr>
      <xdr:spPr>
        <a:xfrm>
          <a:off x="15267094" y="5812368"/>
          <a:ext cx="1257299" cy="256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5"/>
              </a:solidFill>
              <a:latin typeface="Segoe UI" panose="020B0502040204020203" pitchFamily="34" charset="0"/>
              <a:cs typeface="Segoe UI" panose="020B0502040204020203" pitchFamily="34" charset="0"/>
            </a:rPr>
            <a:t>Department</a:t>
          </a:r>
        </a:p>
      </xdr:txBody>
    </xdr:sp>
    <xdr:clientData/>
  </xdr:twoCellAnchor>
  <xdr:twoCellAnchor>
    <xdr:from>
      <xdr:col>17</xdr:col>
      <xdr:colOff>465667</xdr:colOff>
      <xdr:row>2</xdr:row>
      <xdr:rowOff>10584</xdr:rowOff>
    </xdr:from>
    <xdr:to>
      <xdr:col>19</xdr:col>
      <xdr:colOff>613833</xdr:colOff>
      <xdr:row>6</xdr:row>
      <xdr:rowOff>179917</xdr:rowOff>
    </xdr:to>
    <xdr:sp macro="" textlink="">
      <xdr:nvSpPr>
        <xdr:cNvPr id="90" name="TextBox 89">
          <a:extLst>
            <a:ext uri="{FF2B5EF4-FFF2-40B4-BE49-F238E27FC236}">
              <a16:creationId xmlns:a16="http://schemas.microsoft.com/office/drawing/2014/main" id="{70A366CD-7989-8539-BA43-A8D50615C48E}"/>
            </a:ext>
          </a:extLst>
        </xdr:cNvPr>
        <xdr:cNvSpPr txBox="1"/>
      </xdr:nvSpPr>
      <xdr:spPr>
        <a:xfrm>
          <a:off x="11620500" y="391584"/>
          <a:ext cx="1460500" cy="931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rgbClr val="602928"/>
              </a:solidFill>
              <a:latin typeface="Lato Black" panose="020F0A02020204030203" pitchFamily="34" charset="0"/>
            </a:rPr>
            <a:t>     JOB	    SATISFATION</a:t>
          </a:r>
          <a:r>
            <a:rPr lang="en-IN" sz="1300" baseline="0">
              <a:solidFill>
                <a:srgbClr val="602928"/>
              </a:solidFill>
              <a:latin typeface="Lato Black" panose="020F0A02020204030203" pitchFamily="34" charset="0"/>
            </a:rPr>
            <a:t>    </a:t>
          </a:r>
          <a:r>
            <a:rPr lang="en-IN" sz="1300">
              <a:solidFill>
                <a:srgbClr val="602928"/>
              </a:solidFill>
              <a:latin typeface="Lato Black" panose="020F0A02020204030203" pitchFamily="34" charset="0"/>
            </a:rPr>
            <a:t>RATING	      		</a:t>
          </a:r>
          <a:r>
            <a:rPr lang="en-IN" sz="1300" baseline="0">
              <a:solidFill>
                <a:srgbClr val="602928"/>
              </a:solidFill>
              <a:latin typeface="Lato Black" panose="020F0A02020204030203" pitchFamily="34" charset="0"/>
            </a:rPr>
            <a:t>                                                                  </a:t>
          </a:r>
          <a:endParaRPr lang="en-IN" sz="1300">
            <a:solidFill>
              <a:srgbClr val="602928"/>
            </a:solidFill>
            <a:latin typeface="Lato Black" panose="020F0A02020204030203" pitchFamily="34" charset="0"/>
          </a:endParaRPr>
        </a:p>
      </xdr:txBody>
    </xdr:sp>
    <xdr:clientData/>
  </xdr:twoCellAnchor>
  <xdr:twoCellAnchor>
    <xdr:from>
      <xdr:col>4</xdr:col>
      <xdr:colOff>274320</xdr:colOff>
      <xdr:row>15</xdr:row>
      <xdr:rowOff>50800</xdr:rowOff>
    </xdr:from>
    <xdr:to>
      <xdr:col>5</xdr:col>
      <xdr:colOff>528320</xdr:colOff>
      <xdr:row>16</xdr:row>
      <xdr:rowOff>91440</xdr:rowOff>
    </xdr:to>
    <xdr:sp macro="" textlink="">
      <xdr:nvSpPr>
        <xdr:cNvPr id="91" name="TextBox 90">
          <a:extLst>
            <a:ext uri="{FF2B5EF4-FFF2-40B4-BE49-F238E27FC236}">
              <a16:creationId xmlns:a16="http://schemas.microsoft.com/office/drawing/2014/main" id="{34F05E66-78BF-716D-83EC-0CC4FC54E6E2}"/>
            </a:ext>
          </a:extLst>
        </xdr:cNvPr>
        <xdr:cNvSpPr txBox="1"/>
      </xdr:nvSpPr>
      <xdr:spPr>
        <a:xfrm>
          <a:off x="2915920" y="2946400"/>
          <a:ext cx="914400" cy="233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latin typeface="Lato Black" panose="020F0A02020204030203" pitchFamily="34" charset="0"/>
            </a:rPr>
            <a:t>Gender</a:t>
          </a:r>
        </a:p>
      </xdr:txBody>
    </xdr:sp>
    <xdr:clientData/>
  </xdr:twoCellAnchor>
  <xdr:twoCellAnchor>
    <xdr:from>
      <xdr:col>7</xdr:col>
      <xdr:colOff>386080</xdr:colOff>
      <xdr:row>19</xdr:row>
      <xdr:rowOff>152400</xdr:rowOff>
    </xdr:from>
    <xdr:to>
      <xdr:col>8</xdr:col>
      <xdr:colOff>355600</xdr:colOff>
      <xdr:row>21</xdr:row>
      <xdr:rowOff>46916</xdr:rowOff>
    </xdr:to>
    <xdr:sp macro="" textlink="Gender!C10">
      <xdr:nvSpPr>
        <xdr:cNvPr id="104" name="TextBox 103">
          <a:extLst>
            <a:ext uri="{FF2B5EF4-FFF2-40B4-BE49-F238E27FC236}">
              <a16:creationId xmlns:a16="http://schemas.microsoft.com/office/drawing/2014/main" id="{411F886A-50D4-4335-8DD5-5DAB36A1C528}"/>
            </a:ext>
          </a:extLst>
        </xdr:cNvPr>
        <xdr:cNvSpPr txBox="1"/>
      </xdr:nvSpPr>
      <xdr:spPr>
        <a:xfrm>
          <a:off x="5008880" y="3820160"/>
          <a:ext cx="629920" cy="280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59C291-2BE8-4A43-852C-83E3BA3ED8C0}" type="TxLink">
            <a:rPr lang="en-US" sz="1200" b="1" i="0" u="none" strike="noStrike">
              <a:solidFill>
                <a:srgbClr val="760000"/>
              </a:solidFill>
              <a:latin typeface="Lato Black" panose="020F0A02020204030203" pitchFamily="34" charset="0"/>
              <a:cs typeface="Calibri"/>
            </a:rPr>
            <a:pPr algn="ctr"/>
            <a:t>60%</a:t>
          </a:fld>
          <a:endParaRPr lang="en-IN" sz="1100" b="1">
            <a:solidFill>
              <a:srgbClr val="760000"/>
            </a:solidFill>
            <a:latin typeface="Lato Black" panose="020F0A02020204030203" pitchFamily="34" charset="0"/>
          </a:endParaRPr>
        </a:p>
      </xdr:txBody>
    </xdr:sp>
    <xdr:clientData/>
  </xdr:twoCellAnchor>
  <xdr:twoCellAnchor>
    <xdr:from>
      <xdr:col>2</xdr:col>
      <xdr:colOff>355600</xdr:colOff>
      <xdr:row>17</xdr:row>
      <xdr:rowOff>66035</xdr:rowOff>
    </xdr:from>
    <xdr:to>
      <xdr:col>4</xdr:col>
      <xdr:colOff>568960</xdr:colOff>
      <xdr:row>24</xdr:row>
      <xdr:rowOff>154755</xdr:rowOff>
    </xdr:to>
    <xdr:graphicFrame macro="">
      <xdr:nvGraphicFramePr>
        <xdr:cNvPr id="106" name="Chart 105">
          <a:extLst>
            <a:ext uri="{FF2B5EF4-FFF2-40B4-BE49-F238E27FC236}">
              <a16:creationId xmlns:a16="http://schemas.microsoft.com/office/drawing/2014/main" id="{13B1ACBC-CE77-4BDB-9539-9B594835E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619760</xdr:colOff>
      <xdr:row>16</xdr:row>
      <xdr:rowOff>167635</xdr:rowOff>
    </xdr:from>
    <xdr:to>
      <xdr:col>9</xdr:col>
      <xdr:colOff>119200</xdr:colOff>
      <xdr:row>24</xdr:row>
      <xdr:rowOff>63315</xdr:rowOff>
    </xdr:to>
    <xdr:graphicFrame macro="">
      <xdr:nvGraphicFramePr>
        <xdr:cNvPr id="107" name="Chart 106">
          <a:extLst>
            <a:ext uri="{FF2B5EF4-FFF2-40B4-BE49-F238E27FC236}">
              <a16:creationId xmlns:a16="http://schemas.microsoft.com/office/drawing/2014/main" id="{99CB5F88-78AE-4D38-A54B-9E0C4E993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162560</xdr:colOff>
      <xdr:row>20</xdr:row>
      <xdr:rowOff>30480</xdr:rowOff>
    </xdr:from>
    <xdr:to>
      <xdr:col>4</xdr:col>
      <xdr:colOff>111760</xdr:colOff>
      <xdr:row>21</xdr:row>
      <xdr:rowOff>158676</xdr:rowOff>
    </xdr:to>
    <xdr:sp macro="" textlink="Gender!C9">
      <xdr:nvSpPr>
        <xdr:cNvPr id="108" name="TextBox 107">
          <a:extLst>
            <a:ext uri="{FF2B5EF4-FFF2-40B4-BE49-F238E27FC236}">
              <a16:creationId xmlns:a16="http://schemas.microsoft.com/office/drawing/2014/main" id="{968A4927-FA41-4643-B3EF-6F434C5ACD4A}"/>
            </a:ext>
          </a:extLst>
        </xdr:cNvPr>
        <xdr:cNvSpPr txBox="1"/>
      </xdr:nvSpPr>
      <xdr:spPr>
        <a:xfrm>
          <a:off x="2143760" y="3891280"/>
          <a:ext cx="609600" cy="32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44D291A-BC73-4DAA-9145-778E8C77F43D}" type="TxLink">
            <a:rPr lang="en-US" sz="1200" b="1" i="0" u="none" strike="noStrike">
              <a:solidFill>
                <a:srgbClr val="760000"/>
              </a:solidFill>
              <a:latin typeface="Lato Black" panose="020F0A02020204030203" pitchFamily="34" charset="0"/>
              <a:cs typeface="Calibri"/>
            </a:rPr>
            <a:pPr algn="ctr"/>
            <a:t>40%</a:t>
          </a:fld>
          <a:endParaRPr lang="en-IN" sz="1100" b="1">
            <a:solidFill>
              <a:srgbClr val="760000"/>
            </a:solidFill>
            <a:latin typeface="Lato Black" panose="020F0A02020204030203" pitchFamily="34" charset="0"/>
          </a:endParaRPr>
        </a:p>
      </xdr:txBody>
    </xdr:sp>
    <xdr:clientData/>
  </xdr:twoCellAnchor>
  <xdr:twoCellAnchor>
    <xdr:from>
      <xdr:col>9</xdr:col>
      <xdr:colOff>386080</xdr:colOff>
      <xdr:row>14</xdr:row>
      <xdr:rowOff>0</xdr:rowOff>
    </xdr:from>
    <xdr:to>
      <xdr:col>17</xdr:col>
      <xdr:colOff>142240</xdr:colOff>
      <xdr:row>25</xdr:row>
      <xdr:rowOff>111760</xdr:rowOff>
    </xdr:to>
    <xdr:graphicFrame macro="">
      <xdr:nvGraphicFramePr>
        <xdr:cNvPr id="110" name="Chart 109">
          <a:extLst>
            <a:ext uri="{FF2B5EF4-FFF2-40B4-BE49-F238E27FC236}">
              <a16:creationId xmlns:a16="http://schemas.microsoft.com/office/drawing/2014/main" id="{52C2E7D1-329B-47E0-88FD-3A287CA0C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182880</xdr:colOff>
      <xdr:row>28</xdr:row>
      <xdr:rowOff>60960</xdr:rowOff>
    </xdr:from>
    <xdr:to>
      <xdr:col>15</xdr:col>
      <xdr:colOff>81280</xdr:colOff>
      <xdr:row>39</xdr:row>
      <xdr:rowOff>50800</xdr:rowOff>
    </xdr:to>
    <xdr:graphicFrame macro="">
      <xdr:nvGraphicFramePr>
        <xdr:cNvPr id="111" name="Chart 110">
          <a:extLst>
            <a:ext uri="{FF2B5EF4-FFF2-40B4-BE49-F238E27FC236}">
              <a16:creationId xmlns:a16="http://schemas.microsoft.com/office/drawing/2014/main" id="{48493724-0383-4633-8345-0C82A3364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426720</xdr:colOff>
      <xdr:row>28</xdr:row>
      <xdr:rowOff>81280</xdr:rowOff>
    </xdr:from>
    <xdr:to>
      <xdr:col>20</xdr:col>
      <xdr:colOff>40640</xdr:colOff>
      <xdr:row>39</xdr:row>
      <xdr:rowOff>81280</xdr:rowOff>
    </xdr:to>
    <mc:AlternateContent xmlns:mc="http://schemas.openxmlformats.org/markup-compatibility/2006">
      <mc:Choice xmlns:cx2="http://schemas.microsoft.com/office/drawing/2015/10/21/chartex" Requires="cx2">
        <xdr:graphicFrame macro="">
          <xdr:nvGraphicFramePr>
            <xdr:cNvPr id="112" name="Chart 111">
              <a:extLst>
                <a:ext uri="{FF2B5EF4-FFF2-40B4-BE49-F238E27FC236}">
                  <a16:creationId xmlns:a16="http://schemas.microsoft.com/office/drawing/2014/main" id="{EFD4C9E5-25E0-4178-9B6C-48921EB846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0256520" y="5415280"/>
              <a:ext cx="2890520" cy="2095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619760</xdr:colOff>
      <xdr:row>3</xdr:row>
      <xdr:rowOff>50800</xdr:rowOff>
    </xdr:from>
    <xdr:to>
      <xdr:col>20</xdr:col>
      <xdr:colOff>457200</xdr:colOff>
      <xdr:row>4</xdr:row>
      <xdr:rowOff>111760</xdr:rowOff>
    </xdr:to>
    <xdr:sp macro="" textlink="Rating!B8">
      <xdr:nvSpPr>
        <xdr:cNvPr id="114" name="TextBox 113">
          <a:extLst>
            <a:ext uri="{FF2B5EF4-FFF2-40B4-BE49-F238E27FC236}">
              <a16:creationId xmlns:a16="http://schemas.microsoft.com/office/drawing/2014/main" id="{43C6DFB7-D3A9-912F-6D61-E2E3C5CC0368}"/>
            </a:ext>
          </a:extLst>
        </xdr:cNvPr>
        <xdr:cNvSpPr txBox="1"/>
      </xdr:nvSpPr>
      <xdr:spPr>
        <a:xfrm>
          <a:off x="13167360" y="629920"/>
          <a:ext cx="49784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D0E5A4-5A24-41A2-8FDC-183F99ABFF40}" type="TxLink">
            <a:rPr lang="en-US" sz="1200" b="1" i="0" u="none" strike="noStrike">
              <a:solidFill>
                <a:schemeClr val="accent1">
                  <a:lumMod val="75000"/>
                </a:schemeClr>
              </a:solidFill>
              <a:latin typeface="Lato Black" panose="020F0A02020204030203" pitchFamily="34" charset="0"/>
              <a:cs typeface="Calibri"/>
            </a:rPr>
            <a:pPr algn="ctr"/>
            <a:t>2.6</a:t>
          </a:fld>
          <a:endParaRPr lang="en-IN" sz="1100" b="1">
            <a:solidFill>
              <a:schemeClr val="accent1">
                <a:lumMod val="75000"/>
              </a:schemeClr>
            </a:solidFill>
            <a:latin typeface="Lato Black" panose="020F0A02020204030203" pitchFamily="34" charset="0"/>
          </a:endParaRPr>
        </a:p>
      </xdr:txBody>
    </xdr:sp>
    <xdr:clientData/>
  </xdr:twoCellAnchor>
  <xdr:twoCellAnchor>
    <xdr:from>
      <xdr:col>19</xdr:col>
      <xdr:colOff>172720</xdr:colOff>
      <xdr:row>1</xdr:row>
      <xdr:rowOff>142240</xdr:rowOff>
    </xdr:from>
    <xdr:to>
      <xdr:col>21</xdr:col>
      <xdr:colOff>182880</xdr:colOff>
      <xdr:row>6</xdr:row>
      <xdr:rowOff>10160</xdr:rowOff>
    </xdr:to>
    <xdr:graphicFrame macro="">
      <xdr:nvGraphicFramePr>
        <xdr:cNvPr id="115" name="Chart 114">
          <a:extLst>
            <a:ext uri="{FF2B5EF4-FFF2-40B4-BE49-F238E27FC236}">
              <a16:creationId xmlns:a16="http://schemas.microsoft.com/office/drawing/2014/main" id="{A4E3F96B-5835-4D6F-B3A5-65D9C4A27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21</xdr:col>
      <xdr:colOff>254000</xdr:colOff>
      <xdr:row>2</xdr:row>
      <xdr:rowOff>10160</xdr:rowOff>
    </xdr:from>
    <xdr:to>
      <xdr:col>24</xdr:col>
      <xdr:colOff>368301</xdr:colOff>
      <xdr:row>5</xdr:row>
      <xdr:rowOff>125804</xdr:rowOff>
    </xdr:to>
    <xdr:graphicFrame macro="">
      <xdr:nvGraphicFramePr>
        <xdr:cNvPr id="144" name="Chart 143">
          <a:extLst>
            <a:ext uri="{FF2B5EF4-FFF2-40B4-BE49-F238E27FC236}">
              <a16:creationId xmlns:a16="http://schemas.microsoft.com/office/drawing/2014/main" id="{CAACEABE-D3A9-4FB2-8E41-9A49CA99E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xdr:col>
      <xdr:colOff>304800</xdr:colOff>
      <xdr:row>2</xdr:row>
      <xdr:rowOff>121920</xdr:rowOff>
    </xdr:from>
    <xdr:to>
      <xdr:col>24</xdr:col>
      <xdr:colOff>391086</xdr:colOff>
      <xdr:row>5</xdr:row>
      <xdr:rowOff>35859</xdr:rowOff>
    </xdr:to>
    <xdr:sp macro="" textlink="">
      <xdr:nvSpPr>
        <xdr:cNvPr id="145" name="Freeform: Shape 144">
          <a:extLst>
            <a:ext uri="{FF2B5EF4-FFF2-40B4-BE49-F238E27FC236}">
              <a16:creationId xmlns:a16="http://schemas.microsoft.com/office/drawing/2014/main" id="{78545002-647D-4849-BA49-A613E61D0DA3}"/>
            </a:ext>
          </a:extLst>
        </xdr:cNvPr>
        <xdr:cNvSpPr/>
      </xdr:nvSpPr>
      <xdr:spPr>
        <a:xfrm>
          <a:off x="14173200" y="508000"/>
          <a:ext cx="2067486" cy="493059"/>
        </a:xfrm>
        <a:custGeom>
          <a:avLst/>
          <a:gdLst>
            <a:gd name="csX0" fmla="*/ 381212 w 2186609"/>
            <a:gd name="csY0" fmla="*/ 0 h 431612"/>
            <a:gd name="csX1" fmla="*/ 848140 w 2186609"/>
            <a:gd name="csY1" fmla="*/ 0 h 431612"/>
            <a:gd name="csX2" fmla="*/ 793028 w 2186609"/>
            <a:gd name="csY2" fmla="*/ 130048 h 431612"/>
            <a:gd name="csX3" fmla="*/ 614676 w 2186609"/>
            <a:gd name="csY3" fmla="*/ 130047 h 431612"/>
            <a:gd name="csX4" fmla="*/ 436324 w 2186609"/>
            <a:gd name="csY4" fmla="*/ 130048 h 431612"/>
            <a:gd name="csX5" fmla="*/ 0 w 2186609"/>
            <a:gd name="csY5" fmla="*/ 0 h 431612"/>
            <a:gd name="csX6" fmla="*/ 381212 w 2186609"/>
            <a:gd name="csY6" fmla="*/ 0 h 431612"/>
            <a:gd name="csX7" fmla="*/ 326100 w 2186609"/>
            <a:gd name="csY7" fmla="*/ 130048 h 431612"/>
            <a:gd name="csX8" fmla="*/ 147748 w 2186609"/>
            <a:gd name="csY8" fmla="*/ 130047 h 431612"/>
            <a:gd name="csX9" fmla="*/ 292038 w 2186609"/>
            <a:gd name="csY9" fmla="*/ 210420 h 431612"/>
            <a:gd name="csX10" fmla="*/ 236924 w 2186609"/>
            <a:gd name="csY10" fmla="*/ 340467 h 431612"/>
            <a:gd name="csX11" fmla="*/ 381212 w 2186609"/>
            <a:gd name="csY11" fmla="*/ 260093 h 431612"/>
            <a:gd name="csX12" fmla="*/ 525500 w 2186609"/>
            <a:gd name="csY12" fmla="*/ 340467 h 431612"/>
            <a:gd name="csX13" fmla="*/ 470386 w 2186609"/>
            <a:gd name="csY13" fmla="*/ 210420 h 431612"/>
            <a:gd name="csX14" fmla="*/ 614676 w 2186609"/>
            <a:gd name="csY14" fmla="*/ 130047 h 431612"/>
            <a:gd name="csX15" fmla="*/ 758966 w 2186609"/>
            <a:gd name="csY15" fmla="*/ 210420 h 431612"/>
            <a:gd name="csX16" fmla="*/ 703852 w 2186609"/>
            <a:gd name="csY16" fmla="*/ 340467 h 431612"/>
            <a:gd name="csX17" fmla="*/ 848140 w 2186609"/>
            <a:gd name="csY17" fmla="*/ 260093 h 431612"/>
            <a:gd name="csX18" fmla="*/ 992428 w 2186609"/>
            <a:gd name="csY18" fmla="*/ 340467 h 431612"/>
            <a:gd name="csX19" fmla="*/ 937314 w 2186609"/>
            <a:gd name="csY19" fmla="*/ 210420 h 431612"/>
            <a:gd name="csX20" fmla="*/ 1081604 w 2186609"/>
            <a:gd name="csY20" fmla="*/ 130047 h 431612"/>
            <a:gd name="csX21" fmla="*/ 903252 w 2186609"/>
            <a:gd name="csY21" fmla="*/ 130048 h 431612"/>
            <a:gd name="csX22" fmla="*/ 848140 w 2186609"/>
            <a:gd name="csY22" fmla="*/ 0 h 431612"/>
            <a:gd name="csX23" fmla="*/ 1356376 w 2186609"/>
            <a:gd name="csY23" fmla="*/ 0 h 431612"/>
            <a:gd name="csX24" fmla="*/ 1301264 w 2186609"/>
            <a:gd name="csY24" fmla="*/ 130048 h 431612"/>
            <a:gd name="csX25" fmla="*/ 1122912 w 2186609"/>
            <a:gd name="csY25" fmla="*/ 130047 h 431612"/>
            <a:gd name="csX26" fmla="*/ 1267202 w 2186609"/>
            <a:gd name="csY26" fmla="*/ 210420 h 431612"/>
            <a:gd name="csX27" fmla="*/ 1212088 w 2186609"/>
            <a:gd name="csY27" fmla="*/ 340467 h 431612"/>
            <a:gd name="csX28" fmla="*/ 1356376 w 2186609"/>
            <a:gd name="csY28" fmla="*/ 260093 h 431612"/>
            <a:gd name="csX29" fmla="*/ 1500664 w 2186609"/>
            <a:gd name="csY29" fmla="*/ 340467 h 431612"/>
            <a:gd name="csX30" fmla="*/ 1445550 w 2186609"/>
            <a:gd name="csY30" fmla="*/ 210420 h 431612"/>
            <a:gd name="csX31" fmla="*/ 1589840 w 2186609"/>
            <a:gd name="csY31" fmla="*/ 130047 h 431612"/>
            <a:gd name="csX32" fmla="*/ 1411488 w 2186609"/>
            <a:gd name="csY32" fmla="*/ 130048 h 431612"/>
            <a:gd name="csX33" fmla="*/ 1356376 w 2186609"/>
            <a:gd name="csY33" fmla="*/ 0 h 431612"/>
            <a:gd name="csX34" fmla="*/ 1915438 w 2186609"/>
            <a:gd name="csY34" fmla="*/ 0 h 431612"/>
            <a:gd name="csX35" fmla="*/ 1860326 w 2186609"/>
            <a:gd name="csY35" fmla="*/ 130048 h 431612"/>
            <a:gd name="csX36" fmla="*/ 1681974 w 2186609"/>
            <a:gd name="csY36" fmla="*/ 130047 h 431612"/>
            <a:gd name="csX37" fmla="*/ 1826264 w 2186609"/>
            <a:gd name="csY37" fmla="*/ 210420 h 431612"/>
            <a:gd name="csX38" fmla="*/ 1771150 w 2186609"/>
            <a:gd name="csY38" fmla="*/ 340467 h 431612"/>
            <a:gd name="csX39" fmla="*/ 1915438 w 2186609"/>
            <a:gd name="csY39" fmla="*/ 260093 h 431612"/>
            <a:gd name="csX40" fmla="*/ 2059726 w 2186609"/>
            <a:gd name="csY40" fmla="*/ 340467 h 431612"/>
            <a:gd name="csX41" fmla="*/ 2004612 w 2186609"/>
            <a:gd name="csY41" fmla="*/ 210420 h 431612"/>
            <a:gd name="csX42" fmla="*/ 2148902 w 2186609"/>
            <a:gd name="csY42" fmla="*/ 130047 h 431612"/>
            <a:gd name="csX43" fmla="*/ 1970550 w 2186609"/>
            <a:gd name="csY43" fmla="*/ 130048 h 431612"/>
            <a:gd name="csX44" fmla="*/ 1915438 w 2186609"/>
            <a:gd name="csY44" fmla="*/ 0 h 431612"/>
            <a:gd name="csX45" fmla="*/ 2186609 w 2186609"/>
            <a:gd name="csY45" fmla="*/ 0 h 431612"/>
            <a:gd name="csX46" fmla="*/ 2186609 w 2186609"/>
            <a:gd name="csY46" fmla="*/ 431612 h 431612"/>
            <a:gd name="csX47" fmla="*/ 0 w 2186609"/>
            <a:gd name="csY47" fmla="*/ 431612 h 4316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Lst>
          <a:rect l="l" t="t" r="r" b="b"/>
          <a:pathLst>
            <a:path w="2186609" h="431612">
              <a:moveTo>
                <a:pt x="381212" y="0"/>
              </a:moveTo>
              <a:lnTo>
                <a:pt x="848140" y="0"/>
              </a:lnTo>
              <a:lnTo>
                <a:pt x="793028" y="130048"/>
              </a:lnTo>
              <a:lnTo>
                <a:pt x="614676" y="130047"/>
              </a:lnTo>
              <a:lnTo>
                <a:pt x="436324" y="130048"/>
              </a:lnTo>
              <a:close/>
              <a:moveTo>
                <a:pt x="0" y="0"/>
              </a:moveTo>
              <a:lnTo>
                <a:pt x="381212" y="0"/>
              </a:lnTo>
              <a:lnTo>
                <a:pt x="326100" y="130048"/>
              </a:lnTo>
              <a:lnTo>
                <a:pt x="147748" y="130047"/>
              </a:lnTo>
              <a:lnTo>
                <a:pt x="292038" y="210420"/>
              </a:lnTo>
              <a:lnTo>
                <a:pt x="236924" y="340467"/>
              </a:lnTo>
              <a:lnTo>
                <a:pt x="381212" y="260093"/>
              </a:lnTo>
              <a:lnTo>
                <a:pt x="525500" y="340467"/>
              </a:lnTo>
              <a:lnTo>
                <a:pt x="470386" y="210420"/>
              </a:lnTo>
              <a:lnTo>
                <a:pt x="614676" y="130047"/>
              </a:lnTo>
              <a:lnTo>
                <a:pt x="758966" y="210420"/>
              </a:lnTo>
              <a:lnTo>
                <a:pt x="703852" y="340467"/>
              </a:lnTo>
              <a:lnTo>
                <a:pt x="848140" y="260093"/>
              </a:lnTo>
              <a:lnTo>
                <a:pt x="992428" y="340467"/>
              </a:lnTo>
              <a:lnTo>
                <a:pt x="937314" y="210420"/>
              </a:lnTo>
              <a:lnTo>
                <a:pt x="1081604" y="130047"/>
              </a:lnTo>
              <a:lnTo>
                <a:pt x="903252" y="130048"/>
              </a:lnTo>
              <a:lnTo>
                <a:pt x="848140" y="0"/>
              </a:lnTo>
              <a:lnTo>
                <a:pt x="1356376" y="0"/>
              </a:lnTo>
              <a:lnTo>
                <a:pt x="1301264" y="130048"/>
              </a:lnTo>
              <a:lnTo>
                <a:pt x="1122912" y="130047"/>
              </a:lnTo>
              <a:lnTo>
                <a:pt x="1267202" y="210420"/>
              </a:lnTo>
              <a:lnTo>
                <a:pt x="1212088" y="340467"/>
              </a:lnTo>
              <a:lnTo>
                <a:pt x="1356376" y="260093"/>
              </a:lnTo>
              <a:lnTo>
                <a:pt x="1500664" y="340467"/>
              </a:lnTo>
              <a:lnTo>
                <a:pt x="1445550" y="210420"/>
              </a:lnTo>
              <a:lnTo>
                <a:pt x="1589840" y="130047"/>
              </a:lnTo>
              <a:lnTo>
                <a:pt x="1411488" y="130048"/>
              </a:lnTo>
              <a:lnTo>
                <a:pt x="1356376" y="0"/>
              </a:lnTo>
              <a:lnTo>
                <a:pt x="1915438" y="0"/>
              </a:lnTo>
              <a:lnTo>
                <a:pt x="1860326" y="130048"/>
              </a:lnTo>
              <a:lnTo>
                <a:pt x="1681974" y="130047"/>
              </a:lnTo>
              <a:lnTo>
                <a:pt x="1826264" y="210420"/>
              </a:lnTo>
              <a:lnTo>
                <a:pt x="1771150" y="340467"/>
              </a:lnTo>
              <a:lnTo>
                <a:pt x="1915438" y="260093"/>
              </a:lnTo>
              <a:lnTo>
                <a:pt x="2059726" y="340467"/>
              </a:lnTo>
              <a:lnTo>
                <a:pt x="2004612" y="210420"/>
              </a:lnTo>
              <a:lnTo>
                <a:pt x="2148902" y="130047"/>
              </a:lnTo>
              <a:lnTo>
                <a:pt x="1970550" y="130048"/>
              </a:lnTo>
              <a:lnTo>
                <a:pt x="1915438" y="0"/>
              </a:lnTo>
              <a:lnTo>
                <a:pt x="2186609" y="0"/>
              </a:lnTo>
              <a:lnTo>
                <a:pt x="2186609" y="431612"/>
              </a:lnTo>
              <a:lnTo>
                <a:pt x="0" y="431612"/>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HR%20DATA_Excel%20(1)%20poorna%20chandra.xlsx" TargetMode="External"/><Relationship Id="rId1" Type="http://schemas.openxmlformats.org/officeDocument/2006/relationships/externalLinkPath" Target="HR%20DATA_Excel%20(1)%20poorna%20chand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PI"/>
      <sheetName val="Rating"/>
      <sheetName val="Gender"/>
      <sheetName val="Education by Attrition"/>
      <sheetName val="Attrition by Job"/>
      <sheetName val="Dept wise Attrition"/>
      <sheetName val="Attrition by Age Group"/>
      <sheetName val="Marital Status"/>
      <sheetName val="Data"/>
      <sheetName val="Images"/>
      <sheetName val="DashBoard"/>
    </sheetNames>
    <sheetDataSet>
      <sheetData sheetId="0"/>
      <sheetData sheetId="1">
        <row r="7">
          <cell r="A7" t="str">
            <v>Rating</v>
          </cell>
          <cell r="B7">
            <v>2.6265306122448981</v>
          </cell>
        </row>
        <row r="8">
          <cell r="B8">
            <v>1.3734693877551019</v>
          </cell>
        </row>
      </sheetData>
      <sheetData sheetId="2">
        <row r="9">
          <cell r="C9">
            <v>0.4</v>
          </cell>
        </row>
      </sheetData>
      <sheetData sheetId="3"/>
      <sheetData sheetId="4">
        <row r="4">
          <cell r="D4" t="str">
            <v>Healthcare Representative</v>
          </cell>
        </row>
      </sheetData>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3.695319791666" createdVersion="8" refreshedVersion="8" minRefreshableVersion="3" recordCount="1470" xr:uid="{C95D29C7-4662-42F4-9834-2723E65F2868}">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7909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DDDFA8-7C37-48D9-9C72-754EEDED0703}" name="KP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Sum of CF_attrition count" fld="17" baseField="0" baseItem="0"/>
    <dataField name="Average of Age" fld="16" subtotal="average" baseField="0" baseItem="1"/>
  </dataFields>
  <formats count="3">
    <format dxfId="78">
      <pivotArea dataOnly="0" labelOnly="1" outline="0" fieldPosition="0">
        <references count="1">
          <reference field="4294967294" count="1">
            <x v="0"/>
          </reference>
        </references>
      </pivotArea>
    </format>
    <format dxfId="77">
      <pivotArea dataOnly="0" labelOnly="1" outline="0" fieldPosition="0">
        <references count="1">
          <reference field="4294967294" count="1">
            <x v="2"/>
          </reference>
        </references>
      </pivotArea>
    </format>
    <format dxfId="76">
      <pivotArea dataOnly="0" labelOnly="1" outline="0" fieldPosition="0">
        <references count="1">
          <reference field="4294967294" count="1">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7268A9-62DB-41F6-9B90-7D9EBF5F4BD4}" name="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2">
    <format dxfId="75">
      <pivotArea outline="0" collapsedLevelsAreSubtotals="1" fieldPosition="0"/>
    </format>
    <format dxfId="7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BFBAF1-A6A9-41A1-84FA-B1260A601671}" name="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formats count="8">
    <format dxfId="73">
      <pivotArea type="all" dataOnly="0" outline="0" fieldPosition="0"/>
    </format>
    <format dxfId="72">
      <pivotArea outline="0" collapsedLevelsAreSubtotals="1" fieldPosition="0"/>
    </format>
    <format dxfId="71">
      <pivotArea field="8" type="button" dataOnly="0" labelOnly="1" outline="0" axis="axisRow" fieldPosition="0"/>
    </format>
    <format dxfId="70">
      <pivotArea dataOnly="0" labelOnly="1" fieldPosition="0">
        <references count="1">
          <reference field="8" count="0"/>
        </references>
      </pivotArea>
    </format>
    <format dxfId="69">
      <pivotArea dataOnly="0" labelOnly="1" grandRow="1" outline="0" fieldPosition="0"/>
    </format>
    <format dxfId="68">
      <pivotArea dataOnly="0" labelOnly="1" outline="0" axis="axisValues" fieldPosition="0"/>
    </format>
    <format dxfId="67">
      <pivotArea field="8" type="button" dataOnly="0" labelOnly="1" outline="0" axis="axisRow" fieldPosition="0"/>
    </format>
    <format dxfId="6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3B878F-C5EB-4485-ADA3-0D426CE43CA5}" name="Education by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formats count="12">
    <format dxfId="65">
      <pivotArea type="all" dataOnly="0" outline="0" fieldPosition="0"/>
    </format>
    <format dxfId="64">
      <pivotArea outline="0" collapsedLevelsAreSubtotals="1" fieldPosition="0"/>
    </format>
    <format dxfId="63">
      <pivotArea field="23" type="button" dataOnly="0" labelOnly="1" outline="0" axis="axisRow" fieldPosition="0"/>
    </format>
    <format dxfId="62">
      <pivotArea dataOnly="0" labelOnly="1" fieldPosition="0">
        <references count="1">
          <reference field="23"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23" type="button" dataOnly="0" labelOnly="1" outline="0" axis="axisRow" fieldPosition="0"/>
    </format>
    <format dxfId="56">
      <pivotArea dataOnly="0" labelOnly="1" fieldPosition="0">
        <references count="1">
          <reference field="23" count="0"/>
        </references>
      </pivotArea>
    </format>
    <format dxfId="55">
      <pivotArea dataOnly="0" labelOnly="1" grandRow="1" outline="0" fieldPosition="0"/>
    </format>
    <format dxfId="5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0E086A-307E-48D7-9D7D-ABE997E1A607}" name="Attrition by Job"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formats count="18">
    <format dxfId="53">
      <pivotArea type="all" dataOnly="0" outline="0" fieldPosition="0"/>
    </format>
    <format dxfId="52">
      <pivotArea outline="0" collapsedLevelsAreSubtotals="1" fieldPosition="0"/>
    </format>
    <format dxfId="51">
      <pivotArea field="9" type="button" dataOnly="0" labelOnly="1" outline="0" axis="axisRow" fieldPosition="0"/>
    </format>
    <format dxfId="50">
      <pivotArea dataOnly="0" labelOnly="1" fieldPosition="0">
        <references count="1">
          <reference field="9"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9" type="button" dataOnly="0" labelOnly="1" outline="0" axis="axisRow" fieldPosition="0"/>
    </format>
    <format dxfId="44">
      <pivotArea dataOnly="0" labelOnly="1" fieldPosition="0">
        <references count="1">
          <reference field="9"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9" type="button" dataOnly="0" labelOnly="1" outline="0" axis="axisRow" fieldPosition="0"/>
    </format>
    <format dxfId="38">
      <pivotArea dataOnly="0" labelOnly="1" fieldPosition="0">
        <references count="1">
          <reference field="9" count="0"/>
        </references>
      </pivotArea>
    </format>
    <format dxfId="37">
      <pivotArea dataOnly="0" labelOnly="1" grandRow="1" outline="0" fieldPosition="0"/>
    </format>
    <format dxfId="3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D55BBC-9DC3-446C-AE73-562AF201B375}" name="Dept wise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formats count="12">
    <format dxfId="35">
      <pivotArea type="all" dataOnly="0" outline="0" fieldPosition="0"/>
    </format>
    <format dxfId="34">
      <pivotArea outline="0" collapsedLevelsAreSubtotals="1" fieldPosition="0"/>
    </format>
    <format dxfId="33">
      <pivotArea field="4" type="button" dataOnly="0" labelOnly="1" outline="0" axis="axisRow" fieldPosition="0"/>
    </format>
    <format dxfId="32">
      <pivotArea dataOnly="0" labelOnly="1" fieldPosition="0">
        <references count="1">
          <reference field="4"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grandRow="1" outline="0" fieldPosition="0"/>
    </format>
    <format dxfId="2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925899-8ED8-4587-BA0E-1C992830C42E}" name="Attrition by Age Grou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items count="6">
        <item x="4"/>
        <item x="2"/>
        <item x="0"/>
        <item x="1"/>
        <item x="3"/>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formats count="12">
    <format dxfId="23">
      <pivotArea type="all" dataOnly="0" outline="0" fieldPosition="0"/>
    </format>
    <format dxfId="22">
      <pivotArea outline="0" collapsedLevelsAreSubtotals="1" fieldPosition="0"/>
    </format>
    <format dxfId="21">
      <pivotArea field="2" type="button" dataOnly="0" labelOnly="1" outline="0" axis="axisRow" fieldPosition="0"/>
    </format>
    <format dxfId="20">
      <pivotArea dataOnly="0" labelOnly="1" fieldPosition="0">
        <references count="1">
          <reference field="2"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E9F3C1-FEDD-412D-AFE0-3DB3DAB6184E}" name="Marital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formats count="12">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0" type="button" dataOnly="0" labelOnly="1" outline="0" axis="axisRow" fieldPosition="0"/>
    </format>
    <format dxfId="2">
      <pivotArea dataOnly="0" labelOnly="1" fieldPosition="0">
        <references count="1">
          <reference field="10" count="0"/>
        </references>
      </pivotArea>
    </format>
    <format dxfId="1">
      <pivotArea dataOnly="0" labelOnly="1" grandRow="1" outline="0" fieldPosition="0"/>
    </format>
    <format dxfId="0">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9BCADF0-05A0-457E-8C3E-B2B37EDC9892}" sourceName="Gender">
  <pivotTables>
    <pivotTable tabId="9" name="Gender"/>
    <pivotTable tabId="14" name="Attrition by Age Group"/>
    <pivotTable tabId="11" name="Attrition by Job"/>
    <pivotTable tabId="12" name="Dept wise Attrition"/>
    <pivotTable tabId="10" name="Education by Attrition"/>
    <pivotTable tabId="7" name="KPI"/>
    <pivotTable tabId="16" name="Marital Status"/>
    <pivotTable tabId="8" name="Rating"/>
  </pivotTables>
  <data>
    <tabular pivotCacheId="1179097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157DFBA-72F6-4F86-BCF0-530E3E3C4112}" sourceName="Department">
  <pivotTables>
    <pivotTable tabId="14" name="Attrition by Age Group"/>
    <pivotTable tabId="11" name="Attrition by Job"/>
    <pivotTable tabId="12" name="Dept wise Attrition"/>
    <pivotTable tabId="10" name="Education by Attrition"/>
    <pivotTable tabId="9" name="Gender"/>
    <pivotTable tabId="7" name="KPI"/>
    <pivotTable tabId="16" name="Marital Status"/>
    <pivotTable tabId="8" name="Rating"/>
  </pivotTables>
  <data>
    <tabular pivotCacheId="11790977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9A3F3AA5-149C-445B-80D9-0B9FB5BF289D}" sourceName="Education Field">
  <pivotTables>
    <pivotTable tabId="14" name="Attrition by Age Group"/>
    <pivotTable tabId="11" name="Attrition by Job"/>
    <pivotTable tabId="12" name="Dept wise Attrition"/>
    <pivotTable tabId="10" name="Education by Attrition"/>
    <pivotTable tabId="9" name="Gender"/>
    <pivotTable tabId="7" name="KPI"/>
    <pivotTable tabId="16" name="Marital Status"/>
    <pivotTable tabId="8" name="Rating"/>
  </pivotTables>
  <data>
    <tabular pivotCacheId="11790977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8656D9C-63A1-4101-8875-AA171C947618}"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516BADB-AC03-4974-B7CC-DD2A3785A257}" cache="Slicer_Gender2" caption="Gender" rowHeight="260350"/>
  <slicer name="Education Field" xr10:uid="{09DC35E2-F553-4EC7-863A-FCDAA93F96A5}"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0EC9F46-1943-4087-BA9F-F8C86179B3C0}" cache="Slicer_Gender2" caption="Gender" rowHeight="260350"/>
  <slicer name="Education Field 1" xr10:uid="{44D7A914-87CE-4252-A937-C6FA0EC8EFE7}"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E3AF777-3846-4E47-AD76-D1B165BF0E89}" cache="Slicer_Department" caption="Department" rowHeight="260350"/>
  <slicer name="Education Field 2" xr10:uid="{25ACC9AF-CB29-4DF6-94C7-CBD987CA4FAE}"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B45BAEB2-FD08-4D8F-A4C4-AED4EBF443B8}" cache="Slicer_Gender2" columnCount="2" style="Slicer " rowHeight="260350"/>
  <slicer name="Department 1" xr10:uid="{EF96FA11-22E1-4AB9-97E9-AFD2812C6EC4}" cache="Slicer_Department" style="Slicer " rowHeight="260350"/>
  <slicer name="Education Field 3" xr10:uid="{F116E49A-3302-4B6F-8967-4F2309E6AD4B}" cache="Slicer_Education_Field2" style="Slicer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93B3-ABA0-4ABC-B9E7-B1A9B00B2E58}">
  <dimension ref="A3:E8"/>
  <sheetViews>
    <sheetView workbookViewId="0">
      <selection activeCell="D15" sqref="D15"/>
    </sheetView>
  </sheetViews>
  <sheetFormatPr defaultRowHeight="15.6" x14ac:dyDescent="0.3"/>
  <cols>
    <col min="1" max="1" width="15.19921875" bestFit="1" customWidth="1"/>
    <col min="2" max="2" width="22.796875" bestFit="1" customWidth="1"/>
    <col min="3" max="3" width="13.5" bestFit="1" customWidth="1"/>
    <col min="4" max="4" width="22.796875" bestFit="1" customWidth="1"/>
    <col min="5" max="5" width="12.5" customWidth="1"/>
  </cols>
  <sheetData>
    <row r="3" spans="1:5" x14ac:dyDescent="0.3">
      <c r="A3" s="2" t="s">
        <v>1554</v>
      </c>
      <c r="B3" s="4" t="s">
        <v>1561</v>
      </c>
      <c r="C3" s="3" t="s">
        <v>1555</v>
      </c>
    </row>
    <row r="4" spans="1:5" x14ac:dyDescent="0.3">
      <c r="A4" s="7">
        <v>1470</v>
      </c>
      <c r="B4" s="10">
        <v>237</v>
      </c>
      <c r="C4" s="8">
        <v>36.923809523809524</v>
      </c>
    </row>
    <row r="7" spans="1:5" x14ac:dyDescent="0.3">
      <c r="A7" s="18" t="s">
        <v>1556</v>
      </c>
      <c r="B7" s="19" t="s">
        <v>1557</v>
      </c>
      <c r="C7" s="19" t="s">
        <v>1558</v>
      </c>
      <c r="D7" s="19" t="s">
        <v>1559</v>
      </c>
      <c r="E7" s="20" t="s">
        <v>1560</v>
      </c>
    </row>
    <row r="8" spans="1:5" x14ac:dyDescent="0.3">
      <c r="A8" s="14">
        <f>GETPIVOTDATA("Count of emp no",$A$3)</f>
        <v>1470</v>
      </c>
      <c r="B8" s="15">
        <f>GETPIVOTDATA("Sum of CF_attrition count",$A$3)</f>
        <v>237</v>
      </c>
      <c r="C8" s="16">
        <f>GETPIVOTDATA("Average of Age",$A$3)</f>
        <v>36.923809523809524</v>
      </c>
      <c r="D8" s="15">
        <f>A8-B8</f>
        <v>1233</v>
      </c>
      <c r="E8" s="17">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4754-FE39-4E84-B155-BA0F4A805397}">
  <dimension ref="A3:N26"/>
  <sheetViews>
    <sheetView workbookViewId="0">
      <selection activeCell="Q10" sqref="Q10"/>
    </sheetView>
  </sheetViews>
  <sheetFormatPr defaultRowHeight="15.6" x14ac:dyDescent="0.3"/>
  <cols>
    <col min="1" max="1" width="23.59765625" bestFit="1" customWidth="1"/>
  </cols>
  <sheetData>
    <row r="3" spans="1:14" x14ac:dyDescent="0.3">
      <c r="A3" s="21" t="s">
        <v>1564</v>
      </c>
    </row>
    <row r="4" spans="1:14" x14ac:dyDescent="0.3">
      <c r="A4" s="6">
        <v>2.6265306122448981</v>
      </c>
    </row>
    <row r="8" spans="1:14" x14ac:dyDescent="0.3">
      <c r="A8" s="25" t="s">
        <v>1565</v>
      </c>
      <c r="B8" s="22">
        <f>GETPIVOTDATA("Job Satisfaction",$A$3)</f>
        <v>2.6265306122448981</v>
      </c>
      <c r="C8" s="13">
        <f>B8/4</f>
        <v>0.65663265306122454</v>
      </c>
    </row>
    <row r="9" spans="1:14" x14ac:dyDescent="0.3">
      <c r="A9" s="26" t="s">
        <v>1566</v>
      </c>
      <c r="B9" s="23">
        <f>4-B8</f>
        <v>1.3734693877551019</v>
      </c>
      <c r="C9" s="24">
        <f>B9/4</f>
        <v>0.34336734693877546</v>
      </c>
    </row>
    <row r="11" spans="1:14" x14ac:dyDescent="0.3">
      <c r="A11" s="29"/>
      <c r="B11" s="30"/>
      <c r="C11" s="30"/>
      <c r="D11" s="30"/>
      <c r="E11" s="30"/>
      <c r="F11" s="31"/>
      <c r="I11" s="38"/>
      <c r="J11" s="39"/>
      <c r="K11" s="39"/>
      <c r="L11" s="39"/>
      <c r="M11" s="39"/>
      <c r="N11" s="40"/>
    </row>
    <row r="12" spans="1:14" x14ac:dyDescent="0.3">
      <c r="A12" s="32"/>
      <c r="B12" s="33"/>
      <c r="C12" s="33"/>
      <c r="D12" s="33"/>
      <c r="E12" s="33"/>
      <c r="F12" s="34"/>
      <c r="I12" s="41"/>
      <c r="J12" s="42"/>
      <c r="K12" s="42"/>
      <c r="L12" s="42"/>
      <c r="M12" s="42"/>
      <c r="N12" s="43"/>
    </row>
    <row r="13" spans="1:14" x14ac:dyDescent="0.3">
      <c r="A13" s="32"/>
      <c r="B13" s="33"/>
      <c r="C13" s="33"/>
      <c r="D13" s="33"/>
      <c r="E13" s="33"/>
      <c r="F13" s="34"/>
      <c r="I13" s="41"/>
      <c r="J13" s="42"/>
      <c r="K13" s="42"/>
      <c r="L13" s="42"/>
      <c r="M13" s="42"/>
      <c r="N13" s="43"/>
    </row>
    <row r="14" spans="1:14" x14ac:dyDescent="0.3">
      <c r="A14" s="32"/>
      <c r="B14" s="33"/>
      <c r="C14" s="33"/>
      <c r="D14" s="33"/>
      <c r="E14" s="33"/>
      <c r="F14" s="34"/>
      <c r="I14" s="41"/>
      <c r="J14" s="42"/>
      <c r="K14" s="42"/>
      <c r="L14" s="42"/>
      <c r="M14" s="42"/>
      <c r="N14" s="43"/>
    </row>
    <row r="15" spans="1:14" x14ac:dyDescent="0.3">
      <c r="A15" s="32"/>
      <c r="B15" s="33"/>
      <c r="C15" s="33"/>
      <c r="D15" s="33"/>
      <c r="E15" s="33"/>
      <c r="F15" s="34"/>
      <c r="I15" s="41"/>
      <c r="J15" s="42"/>
      <c r="K15" s="42"/>
      <c r="L15" s="42"/>
      <c r="M15" s="42"/>
      <c r="N15" s="43"/>
    </row>
    <row r="16" spans="1:14" x14ac:dyDescent="0.3">
      <c r="A16" s="32"/>
      <c r="B16" s="33"/>
      <c r="C16" s="33"/>
      <c r="D16" s="33"/>
      <c r="E16" s="33"/>
      <c r="F16" s="34"/>
      <c r="I16" s="41"/>
      <c r="J16" s="42"/>
      <c r="K16" s="42"/>
      <c r="L16" s="42"/>
      <c r="M16" s="42"/>
      <c r="N16" s="43"/>
    </row>
    <row r="17" spans="1:14" x14ac:dyDescent="0.3">
      <c r="A17" s="32"/>
      <c r="B17" s="33"/>
      <c r="C17" s="33"/>
      <c r="D17" s="33"/>
      <c r="E17" s="33"/>
      <c r="F17" s="34"/>
      <c r="I17" s="41"/>
      <c r="J17" s="42"/>
      <c r="K17" s="42"/>
      <c r="L17" s="42"/>
      <c r="M17" s="42"/>
      <c r="N17" s="43"/>
    </row>
    <row r="18" spans="1:14" x14ac:dyDescent="0.3">
      <c r="A18" s="32"/>
      <c r="B18" s="33"/>
      <c r="C18" s="33"/>
      <c r="D18" s="33"/>
      <c r="E18" s="33"/>
      <c r="F18" s="34"/>
      <c r="I18" s="41"/>
      <c r="J18" s="42"/>
      <c r="K18" s="42"/>
      <c r="L18" s="42"/>
      <c r="M18" s="42"/>
      <c r="N18" s="43"/>
    </row>
    <row r="19" spans="1:14" x14ac:dyDescent="0.3">
      <c r="A19" s="32"/>
      <c r="B19" s="33"/>
      <c r="C19" s="33"/>
      <c r="D19" s="33"/>
      <c r="E19" s="33"/>
      <c r="F19" s="34"/>
      <c r="I19" s="41"/>
      <c r="J19" s="42"/>
      <c r="K19" s="42"/>
      <c r="L19" s="42"/>
      <c r="M19" s="42"/>
      <c r="N19" s="43"/>
    </row>
    <row r="20" spans="1:14" x14ac:dyDescent="0.3">
      <c r="A20" s="32"/>
      <c r="B20" s="33"/>
      <c r="C20" s="33"/>
      <c r="D20" s="33"/>
      <c r="E20" s="33"/>
      <c r="F20" s="34"/>
      <c r="I20" s="41"/>
      <c r="J20" s="42"/>
      <c r="K20" s="42"/>
      <c r="L20" s="42"/>
      <c r="M20" s="42"/>
      <c r="N20" s="43"/>
    </row>
    <row r="21" spans="1:14" x14ac:dyDescent="0.3">
      <c r="A21" s="32"/>
      <c r="B21" s="33"/>
      <c r="C21" s="33"/>
      <c r="D21" s="33"/>
      <c r="E21" s="33"/>
      <c r="F21" s="34"/>
      <c r="I21" s="41"/>
      <c r="J21" s="42"/>
      <c r="K21" s="42"/>
      <c r="L21" s="42"/>
      <c r="M21" s="42"/>
      <c r="N21" s="43"/>
    </row>
    <row r="22" spans="1:14" x14ac:dyDescent="0.3">
      <c r="A22" s="32"/>
      <c r="B22" s="33"/>
      <c r="C22" s="33"/>
      <c r="D22" s="33"/>
      <c r="E22" s="33"/>
      <c r="F22" s="34"/>
      <c r="I22" s="44"/>
      <c r="J22" s="45"/>
      <c r="K22" s="45"/>
      <c r="L22" s="45"/>
      <c r="M22" s="45"/>
      <c r="N22" s="46"/>
    </row>
    <row r="23" spans="1:14" x14ac:dyDescent="0.3">
      <c r="A23" s="32"/>
      <c r="B23" s="33"/>
      <c r="C23" s="33"/>
      <c r="D23" s="33"/>
      <c r="E23" s="33"/>
      <c r="F23" s="34"/>
    </row>
    <row r="24" spans="1:14" x14ac:dyDescent="0.3">
      <c r="A24" s="32"/>
      <c r="B24" s="33"/>
      <c r="C24" s="33"/>
      <c r="D24" s="33"/>
      <c r="E24" s="33"/>
      <c r="F24" s="34"/>
    </row>
    <row r="25" spans="1:14" x14ac:dyDescent="0.3">
      <c r="A25" s="32"/>
      <c r="B25" s="33"/>
      <c r="C25" s="33"/>
      <c r="D25" s="33"/>
      <c r="E25" s="33"/>
      <c r="F25" s="34"/>
    </row>
    <row r="26" spans="1:14" x14ac:dyDescent="0.3">
      <c r="A26" s="35"/>
      <c r="B26" s="36"/>
      <c r="C26" s="36"/>
      <c r="D26" s="36"/>
      <c r="E26" s="36"/>
      <c r="F26" s="3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58DEB-6024-4DDD-BE12-1C3DB9E181D7}">
  <dimension ref="A3:K19"/>
  <sheetViews>
    <sheetView workbookViewId="0">
      <selection activeCell="M4" sqref="M4"/>
    </sheetView>
  </sheetViews>
  <sheetFormatPr defaultRowHeight="15.6" x14ac:dyDescent="0.3"/>
  <cols>
    <col min="1" max="1" width="12.19921875" bestFit="1" customWidth="1"/>
    <col min="2" max="2" width="22.796875" bestFit="1" customWidth="1"/>
  </cols>
  <sheetData>
    <row r="3" spans="1:11" x14ac:dyDescent="0.3">
      <c r="A3" s="63" t="s">
        <v>1562</v>
      </c>
      <c r="B3" s="63" t="s">
        <v>1567</v>
      </c>
    </row>
    <row r="4" spans="1:11" x14ac:dyDescent="0.3">
      <c r="A4" s="65" t="s">
        <v>51</v>
      </c>
      <c r="B4" s="60">
        <v>588</v>
      </c>
    </row>
    <row r="5" spans="1:11" x14ac:dyDescent="0.3">
      <c r="A5" s="66" t="s">
        <v>62</v>
      </c>
      <c r="B5" s="64">
        <v>882</v>
      </c>
    </row>
    <row r="6" spans="1:11" x14ac:dyDescent="0.3">
      <c r="A6" s="62" t="s">
        <v>1563</v>
      </c>
      <c r="B6" s="61">
        <v>1470</v>
      </c>
    </row>
    <row r="8" spans="1:11" x14ac:dyDescent="0.3">
      <c r="E8" s="11"/>
      <c r="F8" s="12"/>
      <c r="G8" s="12"/>
      <c r="H8" s="12"/>
      <c r="I8" s="12"/>
      <c r="J8" s="12"/>
      <c r="K8" s="13"/>
    </row>
    <row r="9" spans="1:11" x14ac:dyDescent="0.3">
      <c r="A9" s="47" t="s">
        <v>51</v>
      </c>
      <c r="B9" s="48">
        <f>IFERROR(GETPIVOTDATA("Employee Count",$A$3,"Gender","Female"),0)</f>
        <v>588</v>
      </c>
      <c r="C9" s="49">
        <f>IFERROR(B9/($B$9+$B$10),0)</f>
        <v>0.4</v>
      </c>
      <c r="E9" s="27"/>
      <c r="K9" s="28"/>
    </row>
    <row r="10" spans="1:11" x14ac:dyDescent="0.3">
      <c r="A10" s="50" t="s">
        <v>62</v>
      </c>
      <c r="B10" s="48">
        <f>IFERROR(GETPIVOTDATA("Employee Count",$A$3,"Gender","Male"),0)</f>
        <v>882</v>
      </c>
      <c r="C10" s="51">
        <f>IFERROR(B10/($B$9+$B$10),0)</f>
        <v>0.6</v>
      </c>
      <c r="E10" s="27"/>
      <c r="K10" s="28"/>
    </row>
    <row r="11" spans="1:11" x14ac:dyDescent="0.3">
      <c r="E11" s="27"/>
      <c r="K11" s="28"/>
    </row>
    <row r="12" spans="1:11" x14ac:dyDescent="0.3">
      <c r="E12" s="27"/>
      <c r="K12" s="28"/>
    </row>
    <row r="13" spans="1:11" x14ac:dyDescent="0.3">
      <c r="E13" s="27"/>
      <c r="K13" s="28"/>
    </row>
    <row r="14" spans="1:11" x14ac:dyDescent="0.3">
      <c r="E14" s="27"/>
      <c r="K14" s="28"/>
    </row>
    <row r="15" spans="1:11" x14ac:dyDescent="0.3">
      <c r="E15" s="27"/>
      <c r="K15" s="28"/>
    </row>
    <row r="16" spans="1:11" x14ac:dyDescent="0.3">
      <c r="E16" s="27"/>
      <c r="K16" s="28"/>
    </row>
    <row r="17" spans="5:11" x14ac:dyDescent="0.3">
      <c r="E17" s="27"/>
      <c r="K17" s="28"/>
    </row>
    <row r="18" spans="5:11" x14ac:dyDescent="0.3">
      <c r="E18" s="27"/>
      <c r="K18" s="28"/>
    </row>
    <row r="19" spans="5:11" x14ac:dyDescent="0.3">
      <c r="E19" s="14"/>
      <c r="F19" s="15"/>
      <c r="G19" s="15"/>
      <c r="H19" s="15"/>
      <c r="I19" s="15"/>
      <c r="J19" s="15"/>
      <c r="K19" s="2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4B851-8B94-4F7A-8C01-E68364843A6C}">
  <dimension ref="A3:F24"/>
  <sheetViews>
    <sheetView workbookViewId="0">
      <selection activeCell="L12" sqref="L12"/>
    </sheetView>
  </sheetViews>
  <sheetFormatPr defaultRowHeight="15.6" x14ac:dyDescent="0.3"/>
  <cols>
    <col min="1" max="1" width="16" bestFit="1" customWidth="1"/>
    <col min="2" max="2" width="22.796875" bestFit="1" customWidth="1"/>
  </cols>
  <sheetData>
    <row r="3" spans="1:2" x14ac:dyDescent="0.3">
      <c r="A3" s="75" t="s">
        <v>1562</v>
      </c>
      <c r="B3" s="75" t="s">
        <v>1561</v>
      </c>
    </row>
    <row r="4" spans="1:2" x14ac:dyDescent="0.3">
      <c r="A4" s="76" t="s">
        <v>134</v>
      </c>
      <c r="B4" s="77">
        <v>5</v>
      </c>
    </row>
    <row r="5" spans="1:2" x14ac:dyDescent="0.3">
      <c r="A5" s="78" t="s">
        <v>65</v>
      </c>
      <c r="B5" s="79">
        <v>31</v>
      </c>
    </row>
    <row r="6" spans="1:2" x14ac:dyDescent="0.3">
      <c r="A6" s="78" t="s">
        <v>55</v>
      </c>
      <c r="B6" s="79">
        <v>44</v>
      </c>
    </row>
    <row r="7" spans="1:2" x14ac:dyDescent="0.3">
      <c r="A7" s="78" t="s">
        <v>71</v>
      </c>
      <c r="B7" s="79">
        <v>58</v>
      </c>
    </row>
    <row r="8" spans="1:2" x14ac:dyDescent="0.3">
      <c r="A8" s="80" t="s">
        <v>77</v>
      </c>
      <c r="B8" s="79">
        <v>99</v>
      </c>
    </row>
    <row r="9" spans="1:2" x14ac:dyDescent="0.3">
      <c r="A9" s="81" t="s">
        <v>1563</v>
      </c>
      <c r="B9" s="82">
        <v>237</v>
      </c>
    </row>
    <row r="24" spans="6:6" x14ac:dyDescent="0.3">
      <c r="F24" s="9"/>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5A81-7C32-4FCC-967B-C263E64397F3}">
  <dimension ref="A3:E13"/>
  <sheetViews>
    <sheetView workbookViewId="0">
      <selection activeCell="E15" sqref="E15"/>
    </sheetView>
  </sheetViews>
  <sheetFormatPr defaultRowHeight="15.6" x14ac:dyDescent="0.3"/>
  <cols>
    <col min="1" max="1" width="23.296875" bestFit="1" customWidth="1"/>
    <col min="2" max="2" width="22.796875" bestFit="1" customWidth="1"/>
    <col min="4" max="4" width="26" customWidth="1"/>
  </cols>
  <sheetData>
    <row r="3" spans="1:5" x14ac:dyDescent="0.3">
      <c r="A3" s="83" t="s">
        <v>1562</v>
      </c>
      <c r="B3" s="83" t="s">
        <v>1561</v>
      </c>
      <c r="D3" s="52" t="s">
        <v>9</v>
      </c>
      <c r="E3" s="53" t="s">
        <v>0</v>
      </c>
    </row>
    <row r="4" spans="1:5" x14ac:dyDescent="0.3">
      <c r="A4" s="84" t="s">
        <v>83</v>
      </c>
      <c r="B4" s="85">
        <v>9</v>
      </c>
      <c r="D4" s="54" t="str">
        <f t="shared" ref="D4:D12" si="0">A4</f>
        <v>Healthcare Representative</v>
      </c>
      <c r="E4" s="55">
        <v>9</v>
      </c>
    </row>
    <row r="5" spans="1:5" x14ac:dyDescent="0.3">
      <c r="A5" s="86" t="s">
        <v>163</v>
      </c>
      <c r="B5" s="87">
        <v>12</v>
      </c>
      <c r="D5" s="54" t="str">
        <f t="shared" si="0"/>
        <v>Human Resources</v>
      </c>
      <c r="E5" s="55">
        <f>GETPIVOTDATA("CF_attrition count",$A$3,"Job Role",A5)</f>
        <v>12</v>
      </c>
    </row>
    <row r="6" spans="1:5" x14ac:dyDescent="0.3">
      <c r="A6" s="86" t="s">
        <v>68</v>
      </c>
      <c r="B6" s="87">
        <v>62</v>
      </c>
      <c r="D6" s="54" t="str">
        <f t="shared" si="0"/>
        <v>Laboratory Technician</v>
      </c>
      <c r="E6" s="107">
        <v>62</v>
      </c>
    </row>
    <row r="7" spans="1:5" x14ac:dyDescent="0.3">
      <c r="A7" s="86" t="s">
        <v>95</v>
      </c>
      <c r="B7" s="87">
        <v>5</v>
      </c>
      <c r="D7" s="54" t="str">
        <f t="shared" si="0"/>
        <v>Manager</v>
      </c>
      <c r="E7" s="55">
        <f t="shared" ref="E7:E12" si="1">GETPIVOTDATA("CF_attrition count",$A$3,"Job Role",A7)</f>
        <v>5</v>
      </c>
    </row>
    <row r="8" spans="1:5" x14ac:dyDescent="0.3">
      <c r="A8" s="86" t="s">
        <v>81</v>
      </c>
      <c r="B8" s="87">
        <v>10</v>
      </c>
      <c r="D8" s="54" t="str">
        <f t="shared" si="0"/>
        <v>Manufacturing Director</v>
      </c>
      <c r="E8" s="55">
        <f t="shared" si="1"/>
        <v>10</v>
      </c>
    </row>
    <row r="9" spans="1:5" x14ac:dyDescent="0.3">
      <c r="A9" s="86" t="s">
        <v>101</v>
      </c>
      <c r="B9" s="87">
        <v>2</v>
      </c>
      <c r="D9" s="54" t="str">
        <f t="shared" si="0"/>
        <v>Research Director</v>
      </c>
      <c r="E9" s="55">
        <f t="shared" si="1"/>
        <v>2</v>
      </c>
    </row>
    <row r="10" spans="1:5" x14ac:dyDescent="0.3">
      <c r="A10" s="86" t="s">
        <v>63</v>
      </c>
      <c r="B10" s="87">
        <v>47</v>
      </c>
      <c r="D10" s="54" t="str">
        <f t="shared" si="0"/>
        <v>Research Scientist</v>
      </c>
      <c r="E10" s="55">
        <f t="shared" si="1"/>
        <v>47</v>
      </c>
    </row>
    <row r="11" spans="1:5" x14ac:dyDescent="0.3">
      <c r="A11" s="86" t="s">
        <v>52</v>
      </c>
      <c r="B11" s="87">
        <v>57</v>
      </c>
      <c r="D11" s="54" t="str">
        <f t="shared" si="0"/>
        <v>Sales Executive</v>
      </c>
      <c r="E11" s="55">
        <f t="shared" si="1"/>
        <v>57</v>
      </c>
    </row>
    <row r="12" spans="1:5" x14ac:dyDescent="0.3">
      <c r="A12" s="88" t="s">
        <v>99</v>
      </c>
      <c r="B12" s="87">
        <v>33</v>
      </c>
      <c r="D12" s="56" t="str">
        <f t="shared" si="0"/>
        <v>Sales Representative</v>
      </c>
      <c r="E12" s="57">
        <f t="shared" si="1"/>
        <v>33</v>
      </c>
    </row>
    <row r="13" spans="1:5" x14ac:dyDescent="0.3">
      <c r="A13" s="89" t="s">
        <v>1563</v>
      </c>
      <c r="B13" s="90">
        <v>237</v>
      </c>
    </row>
  </sheetData>
  <sortState xmlns:xlrd2="http://schemas.microsoft.com/office/spreadsheetml/2017/richdata2" ref="D4:E12">
    <sortCondition descending="1" ref="E6:E12"/>
  </sortStat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21E95-9B9B-444F-AA34-4B722840E163}">
  <dimension ref="A3:B7"/>
  <sheetViews>
    <sheetView workbookViewId="0">
      <selection activeCell="D15" sqref="D15"/>
    </sheetView>
  </sheetViews>
  <sheetFormatPr defaultRowHeight="15.6" x14ac:dyDescent="0.3"/>
  <cols>
    <col min="1" max="1" width="12.19921875" bestFit="1" customWidth="1"/>
    <col min="2" max="3" width="22.796875" bestFit="1" customWidth="1"/>
    <col min="4" max="4" width="10.8984375" bestFit="1" customWidth="1"/>
  </cols>
  <sheetData>
    <row r="3" spans="1:2" x14ac:dyDescent="0.3">
      <c r="A3" s="91" t="s">
        <v>1562</v>
      </c>
      <c r="B3" s="91" t="s">
        <v>1561</v>
      </c>
    </row>
    <row r="4" spans="1:2" x14ac:dyDescent="0.3">
      <c r="A4" s="92" t="s">
        <v>161</v>
      </c>
      <c r="B4" s="93">
        <v>5.0632911392405063E-2</v>
      </c>
    </row>
    <row r="5" spans="1:2" x14ac:dyDescent="0.3">
      <c r="A5" s="94" t="s">
        <v>60</v>
      </c>
      <c r="B5" s="95">
        <v>0.56118143459915615</v>
      </c>
    </row>
    <row r="6" spans="1:2" x14ac:dyDescent="0.3">
      <c r="A6" s="96" t="s">
        <v>48</v>
      </c>
      <c r="B6" s="95">
        <v>0.3881856540084388</v>
      </c>
    </row>
    <row r="7" spans="1:2" x14ac:dyDescent="0.3">
      <c r="A7" s="97" t="s">
        <v>1563</v>
      </c>
      <c r="B7" s="9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9F056-430C-4424-A75F-562DB1707B0A}">
  <dimension ref="A3:Q22"/>
  <sheetViews>
    <sheetView topLeftCell="A2" workbookViewId="0">
      <selection activeCell="B14" sqref="B14"/>
    </sheetView>
  </sheetViews>
  <sheetFormatPr defaultRowHeight="15.6" x14ac:dyDescent="0.3"/>
  <cols>
    <col min="1" max="1" width="12.19921875" bestFit="1" customWidth="1"/>
    <col min="2" max="2" width="22.796875" bestFit="1" customWidth="1"/>
  </cols>
  <sheetData>
    <row r="3" spans="1:17" x14ac:dyDescent="0.3">
      <c r="A3" s="67" t="s">
        <v>1562</v>
      </c>
      <c r="B3" s="67" t="s">
        <v>1561</v>
      </c>
    </row>
    <row r="4" spans="1:17" x14ac:dyDescent="0.3">
      <c r="A4" s="68" t="s">
        <v>92</v>
      </c>
      <c r="B4" s="69">
        <v>38</v>
      </c>
    </row>
    <row r="5" spans="1:17" x14ac:dyDescent="0.3">
      <c r="A5" s="70" t="s">
        <v>69</v>
      </c>
      <c r="B5" s="71">
        <v>112</v>
      </c>
    </row>
    <row r="6" spans="1:17" x14ac:dyDescent="0.3">
      <c r="A6" s="70" t="s">
        <v>46</v>
      </c>
      <c r="B6" s="71">
        <v>51</v>
      </c>
    </row>
    <row r="7" spans="1:17" x14ac:dyDescent="0.3">
      <c r="A7" s="70" t="s">
        <v>58</v>
      </c>
      <c r="B7" s="71">
        <v>25</v>
      </c>
    </row>
    <row r="8" spans="1:17" x14ac:dyDescent="0.3">
      <c r="A8" s="72" t="s">
        <v>75</v>
      </c>
      <c r="B8" s="71">
        <v>11</v>
      </c>
    </row>
    <row r="9" spans="1:17" x14ac:dyDescent="0.3">
      <c r="A9" s="73" t="s">
        <v>1563</v>
      </c>
      <c r="B9" s="74">
        <v>237</v>
      </c>
      <c r="K9" s="29"/>
      <c r="L9" s="30"/>
      <c r="M9" s="30"/>
      <c r="N9" s="30"/>
      <c r="O9" s="30"/>
      <c r="P9" s="30"/>
      <c r="Q9" s="31"/>
    </row>
    <row r="10" spans="1:17" x14ac:dyDescent="0.3">
      <c r="K10" s="32"/>
      <c r="L10" s="33"/>
      <c r="M10" s="33"/>
      <c r="N10" s="33"/>
      <c r="O10" s="33"/>
      <c r="P10" s="33"/>
      <c r="Q10" s="34"/>
    </row>
    <row r="11" spans="1:17" x14ac:dyDescent="0.3">
      <c r="K11" s="32"/>
      <c r="L11" s="33"/>
      <c r="M11" s="33"/>
      <c r="N11" s="33"/>
      <c r="O11" s="33"/>
      <c r="P11" s="33"/>
      <c r="Q11" s="34"/>
    </row>
    <row r="12" spans="1:17" x14ac:dyDescent="0.3">
      <c r="K12" s="32"/>
      <c r="L12" s="33"/>
      <c r="M12" s="33"/>
      <c r="N12" s="33"/>
      <c r="O12" s="33"/>
      <c r="P12" s="33"/>
      <c r="Q12" s="34"/>
    </row>
    <row r="13" spans="1:17" x14ac:dyDescent="0.3">
      <c r="K13" s="32"/>
      <c r="L13" s="33"/>
      <c r="M13" s="33"/>
      <c r="N13" s="33"/>
      <c r="O13" s="33"/>
      <c r="P13" s="33"/>
      <c r="Q13" s="34"/>
    </row>
    <row r="14" spans="1:17" x14ac:dyDescent="0.3">
      <c r="K14" s="32"/>
      <c r="L14" s="33"/>
      <c r="M14" s="33"/>
      <c r="N14" s="33"/>
      <c r="O14" s="33"/>
      <c r="P14" s="33"/>
      <c r="Q14" s="34"/>
    </row>
    <row r="15" spans="1:17" x14ac:dyDescent="0.3">
      <c r="K15" s="32"/>
      <c r="L15" s="33"/>
      <c r="M15" s="33"/>
      <c r="N15" s="33"/>
      <c r="O15" s="33"/>
      <c r="P15" s="33"/>
      <c r="Q15" s="34"/>
    </row>
    <row r="16" spans="1:17" x14ac:dyDescent="0.3">
      <c r="K16" s="32"/>
      <c r="L16" s="33"/>
      <c r="M16" s="33"/>
      <c r="N16" s="33"/>
      <c r="O16" s="33"/>
      <c r="P16" s="33"/>
      <c r="Q16" s="34"/>
    </row>
    <row r="17" spans="11:17" x14ac:dyDescent="0.3">
      <c r="K17" s="32"/>
      <c r="L17" s="33"/>
      <c r="M17" s="33"/>
      <c r="N17" s="33"/>
      <c r="O17" s="33"/>
      <c r="P17" s="33"/>
      <c r="Q17" s="34"/>
    </row>
    <row r="18" spans="11:17" x14ac:dyDescent="0.3">
      <c r="K18" s="32"/>
      <c r="L18" s="33"/>
      <c r="M18" s="33"/>
      <c r="N18" s="33"/>
      <c r="O18" s="33"/>
      <c r="P18" s="33"/>
      <c r="Q18" s="34"/>
    </row>
    <row r="19" spans="11:17" x14ac:dyDescent="0.3">
      <c r="K19" s="32"/>
      <c r="L19" s="33"/>
      <c r="M19" s="33"/>
      <c r="N19" s="33"/>
      <c r="O19" s="33"/>
      <c r="P19" s="33"/>
      <c r="Q19" s="34"/>
    </row>
    <row r="20" spans="11:17" x14ac:dyDescent="0.3">
      <c r="K20" s="32"/>
      <c r="L20" s="33"/>
      <c r="M20" s="33"/>
      <c r="N20" s="33"/>
      <c r="O20" s="33"/>
      <c r="P20" s="33"/>
      <c r="Q20" s="34"/>
    </row>
    <row r="21" spans="11:17" x14ac:dyDescent="0.3">
      <c r="K21" s="32"/>
      <c r="L21" s="33"/>
      <c r="M21" s="33"/>
      <c r="N21" s="33"/>
      <c r="O21" s="33"/>
      <c r="P21" s="33"/>
      <c r="Q21" s="34"/>
    </row>
    <row r="22" spans="11:17" x14ac:dyDescent="0.3">
      <c r="K22" s="35"/>
      <c r="L22" s="36"/>
      <c r="M22" s="36"/>
      <c r="N22" s="36"/>
      <c r="O22" s="36"/>
      <c r="P22" s="36"/>
      <c r="Q22" s="3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B80AD-39A0-4D66-80EA-787E01AF81B7}">
  <dimension ref="A3:E7"/>
  <sheetViews>
    <sheetView workbookViewId="0">
      <selection activeCell="D11" sqref="D11"/>
    </sheetView>
  </sheetViews>
  <sheetFormatPr defaultRowHeight="15.6" x14ac:dyDescent="0.3"/>
  <cols>
    <col min="1" max="1" width="12.19921875" bestFit="1" customWidth="1"/>
    <col min="2" max="2" width="24.296875" bestFit="1" customWidth="1"/>
    <col min="4" max="5" width="13.09765625" customWidth="1"/>
  </cols>
  <sheetData>
    <row r="3" spans="1:5" x14ac:dyDescent="0.3">
      <c r="A3" s="99" t="s">
        <v>1562</v>
      </c>
      <c r="B3" s="99" t="s">
        <v>1568</v>
      </c>
      <c r="D3" s="58" t="s">
        <v>10</v>
      </c>
      <c r="E3" s="58" t="s">
        <v>0</v>
      </c>
    </row>
    <row r="4" spans="1:5" x14ac:dyDescent="0.3">
      <c r="A4" s="100" t="s">
        <v>79</v>
      </c>
      <c r="B4" s="101">
        <v>327</v>
      </c>
      <c r="D4" s="59" t="str">
        <f>A4</f>
        <v>Divorced</v>
      </c>
      <c r="E4" s="59">
        <f>GETPIVOTDATA("CF_attrition count",$A$3,"Marital Status",A4)</f>
        <v>327</v>
      </c>
    </row>
    <row r="5" spans="1:5" x14ac:dyDescent="0.3">
      <c r="A5" s="102" t="s">
        <v>53</v>
      </c>
      <c r="B5" s="103">
        <v>470</v>
      </c>
      <c r="D5" s="59" t="str">
        <f t="shared" ref="D5:D6" si="0">A5</f>
        <v>Single</v>
      </c>
      <c r="E5" s="59">
        <f t="shared" ref="E5:E6" si="1">GETPIVOTDATA("CF_attrition count",$A$3,"Marital Status",A5)</f>
        <v>470</v>
      </c>
    </row>
    <row r="6" spans="1:5" x14ac:dyDescent="0.3">
      <c r="A6" s="104" t="s">
        <v>64</v>
      </c>
      <c r="B6" s="103">
        <v>673</v>
      </c>
      <c r="D6" s="59" t="str">
        <f t="shared" si="0"/>
        <v>Married</v>
      </c>
      <c r="E6" s="59">
        <f t="shared" si="1"/>
        <v>673</v>
      </c>
    </row>
    <row r="7" spans="1:5" x14ac:dyDescent="0.3">
      <c r="A7" s="105" t="s">
        <v>1563</v>
      </c>
      <c r="B7" s="106">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A2" sqref="A2:AR1471"/>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tabSelected="1" zoomScale="75" workbookViewId="0">
      <selection activeCell="AB9" sqref="AB9"/>
    </sheetView>
  </sheetViews>
  <sheetFormatPr defaultColWidth="11.19921875" defaultRowHeight="15" customHeight="1" x14ac:dyDescent="0.3"/>
  <cols>
    <col min="1" max="26" width="8.59765625" style="5" customWidth="1"/>
    <col min="27" max="16384" width="11.19921875" style="5"/>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Attrition</vt:lpstr>
      <vt:lpstr>Attrition by Job</vt:lpstr>
      <vt:lpstr>Dept wise Attrition</vt:lpstr>
      <vt:lpstr>Attrition by Age Group</vt:lpstr>
      <vt:lpstr>Marital Status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Poorna Chandra</cp:lastModifiedBy>
  <dcterms:created xsi:type="dcterms:W3CDTF">2022-12-29T16:02:46Z</dcterms:created>
  <dcterms:modified xsi:type="dcterms:W3CDTF">2026-07-23T04:02:43Z</dcterms:modified>
</cp:coreProperties>
</file>